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law\Desktop\Data Science Journey\Excel_Journey\"/>
    </mc:Choice>
  </mc:AlternateContent>
  <xr:revisionPtr revIDLastSave="0" documentId="13_ncr:1_{F6A18C00-F5BA-4C93-9783-DFFC26266857}" xr6:coauthVersionLast="47" xr6:coauthVersionMax="47" xr10:uidLastSave="{00000000-0000-0000-0000-000000000000}"/>
  <bookViews>
    <workbookView xWindow="-108" yWindow="-108" windowWidth="23256" windowHeight="12456" activeTab="1" xr2:uid="{CDB86B3A-A220-42E7-BDAC-7E542DAC6691}"/>
  </bookViews>
  <sheets>
    <sheet name="Booking_Services_Clean" sheetId="13" r:id="rId1"/>
    <sheet name="Formula_Practice_Log" sheetId="14" r:id="rId2"/>
    <sheet name="Services _Clean" sheetId="12" r:id="rId3"/>
    <sheet name="Payments_Clean" sheetId="11" r:id="rId4"/>
    <sheet name="Bookings_Clean" sheetId="10" r:id="rId5"/>
    <sheet name="Rooms_Clean" sheetId="9" r:id="rId6"/>
    <sheet name="rooms" sheetId="3" r:id="rId7"/>
    <sheet name="Guests_Clean" sheetId="8" r:id="rId8"/>
    <sheet name="booking_services" sheetId="7" r:id="rId9"/>
    <sheet name="services" sheetId="6" r:id="rId10"/>
    <sheet name="payments" sheetId="5" r:id="rId11"/>
    <sheet name="bookings" sheetId="4" r:id="rId12"/>
    <sheet name="guests" sheetId="2" r:id="rId13"/>
    <sheet name="Sheet1" sheetId="1" r:id="rId14"/>
  </sheets>
  <definedNames>
    <definedName name="ExternalData_1" localSheetId="12" hidden="1">guests!$A$1:$G$101</definedName>
    <definedName name="ExternalData_1" localSheetId="7" hidden="1">Guests_Clean!$A$1:$G$101</definedName>
    <definedName name="ExternalData_2" localSheetId="6" hidden="1">'rooms'!$A$1:$F$51</definedName>
    <definedName name="ExternalData_2" localSheetId="5" hidden="1">Rooms_Clean!$A$1:$F$51</definedName>
    <definedName name="ExternalData_3" localSheetId="11" hidden="1">bookings!$A$1:$F$151</definedName>
    <definedName name="ExternalData_3" localSheetId="4" hidden="1">Bookings_Clean!$A$1:$F$151</definedName>
    <definedName name="ExternalData_4" localSheetId="10" hidden="1">payments!$A$1:$F$151</definedName>
    <definedName name="ExternalData_4" localSheetId="3" hidden="1">Payments_Clean!$A$1:$F$151</definedName>
    <definedName name="ExternalData_5" localSheetId="9" hidden="1">services!$A$1:$C$31</definedName>
    <definedName name="ExternalData_5" localSheetId="2" hidden="1">'Services _Clean'!$A$1:$C$31</definedName>
    <definedName name="ExternalData_6" localSheetId="8" hidden="1">booking_services!$A$1:$D$201</definedName>
    <definedName name="ExternalData_6" localSheetId="0" hidden="1">Booking_Services_Clean!$A$1:$D$201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0" l="1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I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2" i="10"/>
  <c r="M27" i="9"/>
  <c r="K30" i="9"/>
  <c r="K27" i="9"/>
  <c r="H10" i="9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H2" i="9"/>
  <c r="H3" i="9"/>
  <c r="H4" i="9"/>
  <c r="H5" i="9"/>
  <c r="H6" i="9"/>
  <c r="H7" i="9"/>
  <c r="H8" i="9"/>
  <c r="H9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K19" i="9"/>
  <c r="P23" i="9"/>
  <c r="K15" i="9"/>
  <c r="N23" i="9"/>
  <c r="P19" i="9"/>
  <c r="N19" i="9"/>
  <c r="P15" i="9"/>
  <c r="N15" i="9"/>
  <c r="P11" i="9"/>
  <c r="N11" i="9"/>
  <c r="N6" i="9"/>
  <c r="P6" i="9"/>
  <c r="K6" i="9"/>
  <c r="K11" i="9"/>
  <c r="J37" i="8"/>
  <c r="J3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57F6BE-64D1-47E8-B88A-F70637D14F76}" keepAlive="1" name="Query - booking_services" description="Connection to the 'booking_services' query in the workbook." type="5" refreshedVersion="8" background="1" saveData="1">
    <dbPr connection="Provider=Microsoft.Mashup.OleDb.1;Data Source=$Workbook$;Location=booking_services;Extended Properties=&quot;&quot;" command="SELECT * FROM [booking_services]"/>
  </connection>
  <connection id="2" xr16:uid="{CD220161-51F6-4F45-8D51-17C6D97DBAA3}" keepAlive="1" name="Query - booking_services (2)" description="Connection to the 'booking_services (2)' query in the workbook." type="5" refreshedVersion="8" background="1" saveData="1">
    <dbPr connection="Provider=Microsoft.Mashup.OleDb.1;Data Source=$Workbook$;Location=&quot;booking_services (2)&quot;;Extended Properties=&quot;&quot;" command="SELECT * FROM [booking_services (2)]"/>
  </connection>
  <connection id="3" xr16:uid="{DD123CB3-6B0E-4925-A0FC-19027747FEE0}" keepAlive="1" name="Query - bookings" description="Connection to the 'bookings' query in the workbook." type="5" refreshedVersion="8" background="1" saveData="1">
    <dbPr connection="Provider=Microsoft.Mashup.OleDb.1;Data Source=$Workbook$;Location=bookings;Extended Properties=&quot;&quot;" command="SELECT * FROM [bookings]"/>
  </connection>
  <connection id="4" xr16:uid="{B42C9E44-F734-4DD0-BC6B-F8A216682550}" keepAlive="1" name="Query - bookings (2)" description="Connection to the 'bookings (2)' query in the workbook." type="5" refreshedVersion="8" background="1" saveData="1">
    <dbPr connection="Provider=Microsoft.Mashup.OleDb.1;Data Source=$Workbook$;Location=&quot;bookings (2)&quot;;Extended Properties=&quot;&quot;" command="SELECT * FROM [bookings (2)]"/>
  </connection>
  <connection id="5" xr16:uid="{C45ED0D6-C75A-4611-8BDD-8C801C066DA7}" keepAlive="1" name="Query - guests" description="Connection to the 'guests' query in the workbook." type="5" refreshedVersion="8" background="1" saveData="1">
    <dbPr connection="Provider=Microsoft.Mashup.OleDb.1;Data Source=$Workbook$;Location=guests;Extended Properties=&quot;&quot;" command="SELECT * FROM [guests]"/>
  </connection>
  <connection id="6" xr16:uid="{35420858-62AA-466B-8721-18C3FECA5E26}" keepAlive="1" name="Query - guests (2)" description="Connection to the 'guests (2)' query in the workbook." type="5" refreshedVersion="8" background="1" saveData="1">
    <dbPr connection="Provider=Microsoft.Mashup.OleDb.1;Data Source=$Workbook$;Location=&quot;guests (2)&quot;;Extended Properties=&quot;&quot;" command="SELECT * FROM [guests (2)]"/>
  </connection>
  <connection id="7" xr16:uid="{67C94CB5-18F4-4900-B563-65B17005F6E0}" keepAlive="1" name="Query - payments" description="Connection to the 'payments' query in the workbook." type="5" refreshedVersion="8" background="1" saveData="1">
    <dbPr connection="Provider=Microsoft.Mashup.OleDb.1;Data Source=$Workbook$;Location=payments;Extended Properties=&quot;&quot;" command="SELECT * FROM [payments]"/>
  </connection>
  <connection id="8" xr16:uid="{B74BF266-1C92-46AA-A74F-D97FD4AFDB4A}" keepAlive="1" name="Query - payments (2)" description="Connection to the 'payments (2)' query in the workbook." type="5" refreshedVersion="8" background="1" saveData="1">
    <dbPr connection="Provider=Microsoft.Mashup.OleDb.1;Data Source=$Workbook$;Location=&quot;payments (2)&quot;;Extended Properties=&quot;&quot;" command="SELECT * FROM [payments (2)]"/>
  </connection>
  <connection id="9" xr16:uid="{0705008E-06EC-4F74-9FEF-C5107FCD4CCB}" keepAlive="1" name="Query - rooms" description="Connection to the 'rooms' query in the workbook." type="5" refreshedVersion="8" background="1" saveData="1">
    <dbPr connection="Provider=Microsoft.Mashup.OleDb.1;Data Source=$Workbook$;Location=rooms;Extended Properties=&quot;&quot;" command="SELECT * FROM [rooms]"/>
  </connection>
  <connection id="10" xr16:uid="{C258E41A-0045-4427-AE74-F25CDF6CBA80}" keepAlive="1" name="Query - rooms (2)" description="Connection to the 'rooms (2)' query in the workbook." type="5" refreshedVersion="8" background="1" saveData="1">
    <dbPr connection="Provider=Microsoft.Mashup.OleDb.1;Data Source=$Workbook$;Location=&quot;rooms (2)&quot;;Extended Properties=&quot;&quot;" command="SELECT * FROM [rooms (2)]"/>
  </connection>
  <connection id="11" xr16:uid="{EAA3B381-1BC8-492A-967D-48B2F87AE4EF}" keepAlive="1" name="Query - services" description="Connection to the 'services' query in the workbook." type="5" refreshedVersion="8" background="1" saveData="1">
    <dbPr connection="Provider=Microsoft.Mashup.OleDb.1;Data Source=$Workbook$;Location=services;Extended Properties=&quot;&quot;" command="SELECT * FROM [services]"/>
  </connection>
  <connection id="12" xr16:uid="{60655ADB-5AD7-4797-9B48-0E34BE0B84E1}" keepAlive="1" name="Query - services (2)" description="Connection to the 'services (2)' query in the workbook." type="5" refreshedVersion="8" background="1" saveData="1">
    <dbPr connection="Provider=Microsoft.Mashup.OleDb.1;Data Source=$Workbook$;Location=&quot;services (2)&quot;;Extended Properties=&quot;&quot;" command="SELECT * FROM [services (2)]"/>
  </connection>
</connections>
</file>

<file path=xl/sharedStrings.xml><?xml version="1.0" encoding="utf-8"?>
<sst xmlns="http://schemas.openxmlformats.org/spreadsheetml/2006/main" count="2313" uniqueCount="442">
  <si>
    <t>guest_id</t>
  </si>
  <si>
    <t>guest_name</t>
  </si>
  <si>
    <t>phone</t>
  </si>
  <si>
    <t>email</t>
  </si>
  <si>
    <t>city</t>
  </si>
  <si>
    <t>created_at</t>
  </si>
  <si>
    <t>Gender</t>
  </si>
  <si>
    <t>Rakesh Bhosle</t>
  </si>
  <si>
    <t>7823464181</t>
  </si>
  <si>
    <t>RakeshB@gmail.com</t>
  </si>
  <si>
    <t>pune</t>
  </si>
  <si>
    <t>Priya Sharma</t>
  </si>
  <si>
    <t>9823012345</t>
  </si>
  <si>
    <t>priya@gmail.com</t>
  </si>
  <si>
    <t>Mumbai</t>
  </si>
  <si>
    <t>Amit Patil</t>
  </si>
  <si>
    <t>9765012345</t>
  </si>
  <si>
    <t>amit@gmail.com</t>
  </si>
  <si>
    <t>Pune</t>
  </si>
  <si>
    <t>Male</t>
  </si>
  <si>
    <t>Sneha Joshi</t>
  </si>
  <si>
    <t>9890012345</t>
  </si>
  <si>
    <t>sneha@gmail.com</t>
  </si>
  <si>
    <t>Nashik</t>
  </si>
  <si>
    <t>Rahul Deshmukh</t>
  </si>
  <si>
    <t>9123012345</t>
  </si>
  <si>
    <t>rahul@gmail.com</t>
  </si>
  <si>
    <t>Neha Kulkarni</t>
  </si>
  <si>
    <t>9766012345</t>
  </si>
  <si>
    <t>neha@gmail.com</t>
  </si>
  <si>
    <t>Nagpur</t>
  </si>
  <si>
    <t>Karan Shah</t>
  </si>
  <si>
    <t>9822012345</t>
  </si>
  <si>
    <t>karan@gmail.com</t>
  </si>
  <si>
    <t>Pooja More</t>
  </si>
  <si>
    <t>9891012345</t>
  </si>
  <si>
    <t>pooja@gmail.com</t>
  </si>
  <si>
    <t>Kolhapur</t>
  </si>
  <si>
    <t>Sahil Pawar</t>
  </si>
  <si>
    <t>9156012345</t>
  </si>
  <si>
    <t>sahil@gmail.com</t>
  </si>
  <si>
    <t>Isha Mehta</t>
  </si>
  <si>
    <t>9767012345</t>
  </si>
  <si>
    <t>isha@gmail.com</t>
  </si>
  <si>
    <t>Aarav Deshmukh</t>
  </si>
  <si>
    <t>9876501234</t>
  </si>
  <si>
    <t>aarav@example.com</t>
  </si>
  <si>
    <t>9876501235</t>
  </si>
  <si>
    <t>sneha@example.com</t>
  </si>
  <si>
    <t>Female</t>
  </si>
  <si>
    <t>Rohan Patil</t>
  </si>
  <si>
    <t>9876501236</t>
  </si>
  <si>
    <t>rohan@example.com</t>
  </si>
  <si>
    <t>Ananya Shah</t>
  </si>
  <si>
    <t>9876501237</t>
  </si>
  <si>
    <t>ananya@example.com</t>
  </si>
  <si>
    <t>Vedant Kulkarni</t>
  </si>
  <si>
    <t>9876501238</t>
  </si>
  <si>
    <t>vedant@example.com</t>
  </si>
  <si>
    <t>Mira Pawar</t>
  </si>
  <si>
    <t>9876501239</t>
  </si>
  <si>
    <t>mira@example.com</t>
  </si>
  <si>
    <t>Aditya More</t>
  </si>
  <si>
    <t>9876501240</t>
  </si>
  <si>
    <t>aditya@example.com</t>
  </si>
  <si>
    <t>Ira Desai</t>
  </si>
  <si>
    <t>9876501241</t>
  </si>
  <si>
    <t>ira@example.com</t>
  </si>
  <si>
    <t>Omkar Jadhav</t>
  </si>
  <si>
    <t>9876501242</t>
  </si>
  <si>
    <t>omkar@example.com</t>
  </si>
  <si>
    <t>Sana Khan</t>
  </si>
  <si>
    <t>9876501243</t>
  </si>
  <si>
    <t>sana@example.com</t>
  </si>
  <si>
    <t>9000000021</t>
  </si>
  <si>
    <t>guest21@example.com</t>
  </si>
  <si>
    <t>Sneha Kulkarni</t>
  </si>
  <si>
    <t>9000000022</t>
  </si>
  <si>
    <t>guest22@example.com</t>
  </si>
  <si>
    <t>Amit Sharma</t>
  </si>
  <si>
    <t>9000000023</t>
  </si>
  <si>
    <t>guest23@example.com</t>
  </si>
  <si>
    <t>Pooja Deshmukh</t>
  </si>
  <si>
    <t>9000000024</t>
  </si>
  <si>
    <t>guest24@example.com</t>
  </si>
  <si>
    <t>Karan Joshi</t>
  </si>
  <si>
    <t>9000000025</t>
  </si>
  <si>
    <t>guest25@example.com</t>
  </si>
  <si>
    <t>Priya Shah</t>
  </si>
  <si>
    <t>9000000026</t>
  </si>
  <si>
    <t>guest26@example.com</t>
  </si>
  <si>
    <t>Rahul More</t>
  </si>
  <si>
    <t>9000000027</t>
  </si>
  <si>
    <t>guest27@example.com</t>
  </si>
  <si>
    <t>Neha Pawar</t>
  </si>
  <si>
    <t>9000000028</t>
  </si>
  <si>
    <t>guest28@example.com</t>
  </si>
  <si>
    <t>Sanket Jadhav</t>
  </si>
  <si>
    <t>9000000029</t>
  </si>
  <si>
    <t>guest29@example.com</t>
  </si>
  <si>
    <t>Anjali Patil</t>
  </si>
  <si>
    <t>9000000030</t>
  </si>
  <si>
    <t>guest30@example.com</t>
  </si>
  <si>
    <t>Vikas Shinde</t>
  </si>
  <si>
    <t>9000000031</t>
  </si>
  <si>
    <t>guest31@example.com</t>
  </si>
  <si>
    <t>Meera Joshi</t>
  </si>
  <si>
    <t>9000000032</t>
  </si>
  <si>
    <t>guest32@example.com</t>
  </si>
  <si>
    <t>Akash Pawar</t>
  </si>
  <si>
    <t>9000000033</t>
  </si>
  <si>
    <t>guest33@example.com</t>
  </si>
  <si>
    <t>Rutuja More</t>
  </si>
  <si>
    <t>9000000034</t>
  </si>
  <si>
    <t>guest34@example.com</t>
  </si>
  <si>
    <t>Nikhil Patil</t>
  </si>
  <si>
    <t>9000000035</t>
  </si>
  <si>
    <t>guest35@example.com</t>
  </si>
  <si>
    <t>Kavita Shah</t>
  </si>
  <si>
    <t>9000000036</t>
  </si>
  <si>
    <t>guest36@example.com</t>
  </si>
  <si>
    <t>Sagar Kulkarni</t>
  </si>
  <si>
    <t>9000000037</t>
  </si>
  <si>
    <t>guest37@example.com</t>
  </si>
  <si>
    <t>Isha Deshmukh</t>
  </si>
  <si>
    <t>9000000038</t>
  </si>
  <si>
    <t>guest38@example.com</t>
  </si>
  <si>
    <t>9000000039</t>
  </si>
  <si>
    <t>guest39@example.com</t>
  </si>
  <si>
    <t>Pallavi Sharma</t>
  </si>
  <si>
    <t>9000000040</t>
  </si>
  <si>
    <t>guest40@example.com</t>
  </si>
  <si>
    <t>Aditya Joshi</t>
  </si>
  <si>
    <t>9000000041</t>
  </si>
  <si>
    <t>guest41@example.com</t>
  </si>
  <si>
    <t>Shruti Patil</t>
  </si>
  <si>
    <t>9000000042</t>
  </si>
  <si>
    <t>guest42@example.com</t>
  </si>
  <si>
    <t>Manoj Kulkarni</t>
  </si>
  <si>
    <t>9000000043</t>
  </si>
  <si>
    <t>guest43@example.com</t>
  </si>
  <si>
    <t>Sayali Deshmukh</t>
  </si>
  <si>
    <t>9000000044</t>
  </si>
  <si>
    <t>guest44@example.com</t>
  </si>
  <si>
    <t>Varun Shah</t>
  </si>
  <si>
    <t>9000000045</t>
  </si>
  <si>
    <t>guest45@example.com</t>
  </si>
  <si>
    <t>Aarti Pawar</t>
  </si>
  <si>
    <t>9000000046</t>
  </si>
  <si>
    <t>guest46@example.com</t>
  </si>
  <si>
    <t>Prasad More</t>
  </si>
  <si>
    <t>9000000047</t>
  </si>
  <si>
    <t>guest47@example.com</t>
  </si>
  <si>
    <t>Riya Sharma</t>
  </si>
  <si>
    <t>9000000048</t>
  </si>
  <si>
    <t>guest48@example.com</t>
  </si>
  <si>
    <t>Tejas Jadhav</t>
  </si>
  <si>
    <t>9000000049</t>
  </si>
  <si>
    <t>guest49@example.com</t>
  </si>
  <si>
    <t>Madhura Shinde</t>
  </si>
  <si>
    <t>9000000050</t>
  </si>
  <si>
    <t>guest50@example.com</t>
  </si>
  <si>
    <t>Kunal Patil</t>
  </si>
  <si>
    <t>9000000051</t>
  </si>
  <si>
    <t>guest51@example.com</t>
  </si>
  <si>
    <t>Mrunal Joshi</t>
  </si>
  <si>
    <t>9000000052</t>
  </si>
  <si>
    <t>guest52@example.com</t>
  </si>
  <si>
    <t>Harshad More</t>
  </si>
  <si>
    <t>9000000053</t>
  </si>
  <si>
    <t>guest53@example.com</t>
  </si>
  <si>
    <t>Komal Shinde</t>
  </si>
  <si>
    <t>9000000054</t>
  </si>
  <si>
    <t>guest54@example.com</t>
  </si>
  <si>
    <t>Yash Kulkarni</t>
  </si>
  <si>
    <t>9000000055</t>
  </si>
  <si>
    <t>guest55@example.com</t>
  </si>
  <si>
    <t>Tanvi Pawar</t>
  </si>
  <si>
    <t>9000000056</t>
  </si>
  <si>
    <t>guest56@example.com</t>
  </si>
  <si>
    <t>Abhishek Shah</t>
  </si>
  <si>
    <t>9000000057</t>
  </si>
  <si>
    <t>guest57@example.com</t>
  </si>
  <si>
    <t>Sakshi Jadhav</t>
  </si>
  <si>
    <t>9000000058</t>
  </si>
  <si>
    <t>guest58@example.com</t>
  </si>
  <si>
    <t>Chaitanya Deshmukh</t>
  </si>
  <si>
    <t>9000000059</t>
  </si>
  <si>
    <t>guest59@example.com</t>
  </si>
  <si>
    <t>Aishwarya Sharma</t>
  </si>
  <si>
    <t>9000000060</t>
  </si>
  <si>
    <t>guest60@example.com</t>
  </si>
  <si>
    <t>Nitin Patil</t>
  </si>
  <si>
    <t>9000000061</t>
  </si>
  <si>
    <t>guest61@example.com</t>
  </si>
  <si>
    <t>Manasi Kulkarni</t>
  </si>
  <si>
    <t>9000000062</t>
  </si>
  <si>
    <t>guest62@example.com</t>
  </si>
  <si>
    <t>Swapnil Joshi</t>
  </si>
  <si>
    <t>9000000063</t>
  </si>
  <si>
    <t>guest63@example.com</t>
  </si>
  <si>
    <t>Gauri Deshmukh</t>
  </si>
  <si>
    <t>9000000064</t>
  </si>
  <si>
    <t>guest64@example.com</t>
  </si>
  <si>
    <t>Rohit Pawar</t>
  </si>
  <si>
    <t>9000000065</t>
  </si>
  <si>
    <t>guest65@example.com</t>
  </si>
  <si>
    <t>Priti Shah</t>
  </si>
  <si>
    <t>9000000066</t>
  </si>
  <si>
    <t>guest66@example.com</t>
  </si>
  <si>
    <t>Mahesh More</t>
  </si>
  <si>
    <t>9000000067</t>
  </si>
  <si>
    <t>guest67@example.com</t>
  </si>
  <si>
    <t>Aditi Shinde</t>
  </si>
  <si>
    <t>9000000068</t>
  </si>
  <si>
    <t>guest68@example.com</t>
  </si>
  <si>
    <t>Shubham Jadhav</t>
  </si>
  <si>
    <t>9000000069</t>
  </si>
  <si>
    <t>guest69@example.com</t>
  </si>
  <si>
    <t>Sonal Sharma</t>
  </si>
  <si>
    <t>9000000070</t>
  </si>
  <si>
    <t>guest70@example.com</t>
  </si>
  <si>
    <t>Akshay Patil</t>
  </si>
  <si>
    <t>9000000071</t>
  </si>
  <si>
    <t>guest71@example.com</t>
  </si>
  <si>
    <t>Poonam Joshi</t>
  </si>
  <si>
    <t>9000000072</t>
  </si>
  <si>
    <t>guest72@example.com</t>
  </si>
  <si>
    <t>Siddharth Kulkarni</t>
  </si>
  <si>
    <t>9000000073</t>
  </si>
  <si>
    <t>guest73@example.com</t>
  </si>
  <si>
    <t>Ketaki More</t>
  </si>
  <si>
    <t>9000000074</t>
  </si>
  <si>
    <t>guest74@example.com</t>
  </si>
  <si>
    <t>Ramesh Shinde</t>
  </si>
  <si>
    <t>9000000075</t>
  </si>
  <si>
    <t>guest75@example.com</t>
  </si>
  <si>
    <t>Nupur Pawar</t>
  </si>
  <si>
    <t>9000000076</t>
  </si>
  <si>
    <t>guest76@example.com</t>
  </si>
  <si>
    <t>Pranav Shah</t>
  </si>
  <si>
    <t>9000000077</t>
  </si>
  <si>
    <t>guest77@example.com</t>
  </si>
  <si>
    <t>Mitali Jadhav</t>
  </si>
  <si>
    <t>9000000078</t>
  </si>
  <si>
    <t>guest78@example.com</t>
  </si>
  <si>
    <t>Amol Deshmukh</t>
  </si>
  <si>
    <t>9000000079</t>
  </si>
  <si>
    <t>guest79@example.com</t>
  </si>
  <si>
    <t>Deepa Sharma</t>
  </si>
  <si>
    <t>9000000080</t>
  </si>
  <si>
    <t>guest80@example.com</t>
  </si>
  <si>
    <t>Pratiksha Patil</t>
  </si>
  <si>
    <t>9000000081</t>
  </si>
  <si>
    <t>guest81@example.com</t>
  </si>
  <si>
    <t>Saurabh Joshi</t>
  </si>
  <si>
    <t>9000000082</t>
  </si>
  <si>
    <t>guest82@example.com</t>
  </si>
  <si>
    <t>Vaishnavi More</t>
  </si>
  <si>
    <t>9000000083</t>
  </si>
  <si>
    <t>guest83@example.com</t>
  </si>
  <si>
    <t>Mandar Kulkarni</t>
  </si>
  <si>
    <t>9000000084</t>
  </si>
  <si>
    <t>guest84@example.com</t>
  </si>
  <si>
    <t>Rashmi Shah</t>
  </si>
  <si>
    <t>9000000085</t>
  </si>
  <si>
    <t>guest85@example.com</t>
  </si>
  <si>
    <t>Girish Pawar</t>
  </si>
  <si>
    <t>9000000086</t>
  </si>
  <si>
    <t>guest86@example.com</t>
  </si>
  <si>
    <t>Pooja Shinde</t>
  </si>
  <si>
    <t>9000000087</t>
  </si>
  <si>
    <t>guest87@example.com</t>
  </si>
  <si>
    <t>Atharva Jadhav</t>
  </si>
  <si>
    <t>9000000088</t>
  </si>
  <si>
    <t>guest88@example.com</t>
  </si>
  <si>
    <t>Mansi Deshmukh</t>
  </si>
  <si>
    <t>9000000089</t>
  </si>
  <si>
    <t>guest89@example.com</t>
  </si>
  <si>
    <t>Nilesh Sharma</t>
  </si>
  <si>
    <t>9000000090</t>
  </si>
  <si>
    <t>guest90@example.com</t>
  </si>
  <si>
    <t>Aniket Patil</t>
  </si>
  <si>
    <t>9000000091</t>
  </si>
  <si>
    <t>guest91@example.com</t>
  </si>
  <si>
    <t>Shweta Kulkarni</t>
  </si>
  <si>
    <t>9000000092</t>
  </si>
  <si>
    <t>guest92@example.com</t>
  </si>
  <si>
    <t>Rohan Joshi</t>
  </si>
  <si>
    <t>9000000093</t>
  </si>
  <si>
    <t>guest93@example.com</t>
  </si>
  <si>
    <t>Priti Deshmukh</t>
  </si>
  <si>
    <t>9000000094</t>
  </si>
  <si>
    <t>guest94@example.com</t>
  </si>
  <si>
    <t>Nikhil Pawar</t>
  </si>
  <si>
    <t>9000000095</t>
  </si>
  <si>
    <t>guest95@example.com</t>
  </si>
  <si>
    <t>Sakshi Shah</t>
  </si>
  <si>
    <t>9000000096</t>
  </si>
  <si>
    <t>guest96@example.com</t>
  </si>
  <si>
    <t>Tushar More</t>
  </si>
  <si>
    <t>9000000097</t>
  </si>
  <si>
    <t>guest97@example.com</t>
  </si>
  <si>
    <t>Revati Shinde</t>
  </si>
  <si>
    <t>9000000098</t>
  </si>
  <si>
    <t>guest98@example.com</t>
  </si>
  <si>
    <t>Sahil Jadhav</t>
  </si>
  <si>
    <t>9000000099</t>
  </si>
  <si>
    <t>guest99@example.com</t>
  </si>
  <si>
    <t>Manisha Sharma</t>
  </si>
  <si>
    <t>9000000100</t>
  </si>
  <si>
    <t>guest100@example.com</t>
  </si>
  <si>
    <t>room_id</t>
  </si>
  <si>
    <t>room_number</t>
  </si>
  <si>
    <t>room_type</t>
  </si>
  <si>
    <t>price_per_night</t>
  </si>
  <si>
    <t>room_status</t>
  </si>
  <si>
    <t>Description</t>
  </si>
  <si>
    <t>Single</t>
  </si>
  <si>
    <t>Available</t>
  </si>
  <si>
    <t>Occupied</t>
  </si>
  <si>
    <t>Double</t>
  </si>
  <si>
    <t>Double room with AC</t>
  </si>
  <si>
    <t>Deluxe</t>
  </si>
  <si>
    <t>Maintenance</t>
  </si>
  <si>
    <t>Suite</t>
  </si>
  <si>
    <t>booking_id</t>
  </si>
  <si>
    <t>check_in_date</t>
  </si>
  <si>
    <t>check_out_date</t>
  </si>
  <si>
    <t>booking_status</t>
  </si>
  <si>
    <t>Checked-Out</t>
  </si>
  <si>
    <t>Confirmed</t>
  </si>
  <si>
    <t>Cancelled</t>
  </si>
  <si>
    <t>payment_id</t>
  </si>
  <si>
    <t>payment_date</t>
  </si>
  <si>
    <t>amount</t>
  </si>
  <si>
    <t>payment_method</t>
  </si>
  <si>
    <t>payment_status</t>
  </si>
  <si>
    <t>UPI</t>
  </si>
  <si>
    <t>Completed</t>
  </si>
  <si>
    <t>Card</t>
  </si>
  <si>
    <t>Cash</t>
  </si>
  <si>
    <t>Refunded</t>
  </si>
  <si>
    <t>Pending</t>
  </si>
  <si>
    <t>service_id</t>
  </si>
  <si>
    <t>service_name</t>
  </si>
  <si>
    <t>service_price</t>
  </si>
  <si>
    <t>Breakfast</t>
  </si>
  <si>
    <t>Lunch</t>
  </si>
  <si>
    <t>Dinner</t>
  </si>
  <si>
    <t>Laundry</t>
  </si>
  <si>
    <t>Spa</t>
  </si>
  <si>
    <t>Airport Pickup</t>
  </si>
  <si>
    <t>Room Cleaning</t>
  </si>
  <si>
    <t>Gym Access</t>
  </si>
  <si>
    <t>Extra Bed</t>
  </si>
  <si>
    <t>Swimming Pool</t>
  </si>
  <si>
    <t>Welcome Drink</t>
  </si>
  <si>
    <t>Room Service</t>
  </si>
  <si>
    <t>City Tour</t>
  </si>
  <si>
    <t>Ironing</t>
  </si>
  <si>
    <t>Late Checkout</t>
  </si>
  <si>
    <t>Valet Parking</t>
  </si>
  <si>
    <t>Conference Room</t>
  </si>
  <si>
    <t>Pet Care</t>
  </si>
  <si>
    <t>Car Rental</t>
  </si>
  <si>
    <t>Yoga Session</t>
  </si>
  <si>
    <t>Doctor on Call</t>
  </si>
  <si>
    <t>Guided Trek</t>
  </si>
  <si>
    <t>Kids Play Area</t>
  </si>
  <si>
    <t>Candlelight Dinner</t>
  </si>
  <si>
    <t>Mini Bar</t>
  </si>
  <si>
    <t>Luggage Storage</t>
  </si>
  <si>
    <t>Shuttle Service</t>
  </si>
  <si>
    <t>Movie Night</t>
  </si>
  <si>
    <t>Birthday Decoration</t>
  </si>
  <si>
    <t>Business Center</t>
  </si>
  <si>
    <t>booking_service_id</t>
  </si>
  <si>
    <t>quantity</t>
  </si>
  <si>
    <t>Not Provided</t>
  </si>
  <si>
    <t>Total Room Price</t>
  </si>
  <si>
    <t>Count Room Price Rows</t>
  </si>
  <si>
    <t>Average Of Room Price</t>
  </si>
  <si>
    <t>Count Available Rooms</t>
  </si>
  <si>
    <t>Count Occupied Rooms</t>
  </si>
  <si>
    <t>Total Price Of Single Rooms</t>
  </si>
  <si>
    <t>Total Price Of Double Rooms</t>
  </si>
  <si>
    <t>Average Of Single Rooms</t>
  </si>
  <si>
    <t>Average Of Double Rooms</t>
  </si>
  <si>
    <t>Count Available Single Rooms</t>
  </si>
  <si>
    <t>Count Occupied Double Rooms</t>
  </si>
  <si>
    <t>Total Price Of Available Single Rooms</t>
  </si>
  <si>
    <t>Total Price Of Occupied Double Rooms</t>
  </si>
  <si>
    <t>Count Price Of Occupied Double Rooms</t>
  </si>
  <si>
    <t>Room Available Statues</t>
  </si>
  <si>
    <t>Room Price Category &gt;3K = Premium</t>
  </si>
  <si>
    <t xml:space="preserve">Check Room Eligibility </t>
  </si>
  <si>
    <t>Room Priority Check</t>
  </si>
  <si>
    <t>IFERROR Practice</t>
  </si>
  <si>
    <t>Room Type Lookup</t>
  </si>
  <si>
    <t>Guest Name Lookup</t>
  </si>
  <si>
    <t>Room Type Lookup2</t>
  </si>
  <si>
    <t>Guest City Lookup</t>
  </si>
  <si>
    <t>Sr. No.</t>
  </si>
  <si>
    <t>Formula Name</t>
  </si>
  <si>
    <t>Category</t>
  </si>
  <si>
    <t>Purpose</t>
  </si>
  <si>
    <t>Applied In</t>
  </si>
  <si>
    <t>SUM</t>
  </si>
  <si>
    <t>Math &amp; Statistical</t>
  </si>
  <si>
    <t>Calculates the total of numeric values</t>
  </si>
  <si>
    <t>Rooms_Clean</t>
  </si>
  <si>
    <t>COUNT</t>
  </si>
  <si>
    <t>Counts cells containing numeric values</t>
  </si>
  <si>
    <t>AVERAGE</t>
  </si>
  <si>
    <t>Calculates the average of numeric values</t>
  </si>
  <si>
    <t>COUNTIF</t>
  </si>
  <si>
    <t>Logical</t>
  </si>
  <si>
    <t>Counts cells that meet one condition</t>
  </si>
  <si>
    <t>SUMIF</t>
  </si>
  <si>
    <t>Adds values that meet one condition</t>
  </si>
  <si>
    <t>AVERAGEIF</t>
  </si>
  <si>
    <t>Calculates the average based on one condition</t>
  </si>
  <si>
    <t>COUNTIFS</t>
  </si>
  <si>
    <t>Counts cells that meet multiple conditions</t>
  </si>
  <si>
    <t>SUMIFS</t>
  </si>
  <si>
    <t>Adds values that meet multiple conditions</t>
  </si>
  <si>
    <t>IF</t>
  </si>
  <si>
    <t>Returns a result based on a condition</t>
  </si>
  <si>
    <t>AND</t>
  </si>
  <si>
    <t>Checks whether all specified conditions are TRUE</t>
  </si>
  <si>
    <t>OR</t>
  </si>
  <si>
    <t>Checks whether at least one specified condition is TRUE</t>
  </si>
  <si>
    <t>IFERROR</t>
  </si>
  <si>
    <t>Returns a custom value when a formula produces an error</t>
  </si>
  <si>
    <t>XLOOKUP</t>
  </si>
  <si>
    <t>Lookup &amp; Reference</t>
  </si>
  <si>
    <t>Searches for a value and returns matching information</t>
  </si>
  <si>
    <t>Bookings_Clean</t>
  </si>
  <si>
    <t>VLOOKUP</t>
  </si>
  <si>
    <t>Searches vertically and returns matching information</t>
  </si>
  <si>
    <t>Practice/ Room_Clean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</si>
</sst>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\.m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\ h\.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64" formatCode="dd/mm/yyyy\ h\.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CF2BA34D-943B-47AD-8354-2F6C7A8DD3E6}" autoFormatId="16" applyNumberFormats="0" applyBorderFormats="0" applyFontFormats="0" applyPatternFormats="0" applyAlignmentFormats="0" applyWidthHeightFormats="0">
  <queryTableRefresh nextId="5">
    <queryTableFields count="4">
      <queryTableField id="1" name="booking_service_id" tableColumnId="1"/>
      <queryTableField id="2" name="booking_id" tableColumnId="2"/>
      <queryTableField id="3" name="service_id" tableColumnId="3"/>
      <queryTableField id="4" name="quantity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2" xr16:uid="{E31F08B0-564B-475A-8C35-E0EC7D5DC292}" autoFormatId="16" applyNumberFormats="0" applyBorderFormats="0" applyFontFormats="0" applyPatternFormats="0" applyAlignmentFormats="0" applyWidthHeightFormats="0">
  <queryTableRefresh nextId="4">
    <queryTableFields count="3">
      <queryTableField id="1" name="service_id" tableColumnId="1"/>
      <queryTableField id="2" name="service_name" tableColumnId="2"/>
      <queryTableField id="3" name="service_pric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74350F5B-0B5B-4B73-8EFF-BB2A66958B83}" autoFormatId="16" applyNumberFormats="0" applyBorderFormats="0" applyFontFormats="0" applyPatternFormats="0" applyAlignmentFormats="0" applyWidthHeightFormats="0">
  <queryTableRefresh nextId="7">
    <queryTableFields count="6">
      <queryTableField id="1" name="payment_id" tableColumnId="1"/>
      <queryTableField id="2" name="booking_id" tableColumnId="2"/>
      <queryTableField id="3" name="payment_date" tableColumnId="3"/>
      <queryTableField id="4" name="amount" tableColumnId="4"/>
      <queryTableField id="5" name="payment_method" tableColumnId="5"/>
      <queryTableField id="6" name="payment_statu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6DCEEDAD-EA56-4F2E-9E6A-1825D86A0783}" autoFormatId="16" applyNumberFormats="0" applyBorderFormats="0" applyFontFormats="0" applyPatternFormats="0" applyAlignmentFormats="0" applyWidthHeightFormats="0">
  <queryTableRefresh nextId="11" unboundColumnsRight="4">
    <queryTableFields count="10">
      <queryTableField id="1" name="booking_id" tableColumnId="1"/>
      <queryTableField id="2" name="guest_id" tableColumnId="2"/>
      <queryTableField id="3" name="room_id" tableColumnId="3"/>
      <queryTableField id="4" name="check_in_date" tableColumnId="4"/>
      <queryTableField id="5" name="check_out_date" tableColumnId="5"/>
      <queryTableField id="6" name="booking_status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BF4AD277-6EDE-4B81-A6D0-67654DB522A9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room_id" tableColumnId="1"/>
      <queryTableField id="2" name="room_number" tableColumnId="2"/>
      <queryTableField id="3" name="room_type" tableColumnId="3"/>
      <queryTableField id="4" name="price_per_night" tableColumnId="4"/>
      <queryTableField id="5" name="room_status" tableColumnId="5"/>
      <queryTableField id="6" name="Description" tableColumnId="6"/>
      <queryTableField id="7" dataBound="0" tableColumnId="7"/>
      <queryTableField id="8" dataBound="0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6647C223-AE21-443A-8685-2A75DE6B0EBB}" autoFormatId="16" applyNumberFormats="0" applyBorderFormats="0" applyFontFormats="0" applyPatternFormats="0" applyAlignmentFormats="0" applyWidthHeightFormats="0">
  <queryTableRefresh nextId="7">
    <queryTableFields count="6">
      <queryTableField id="1" name="room_id" tableColumnId="1"/>
      <queryTableField id="2" name="room_number" tableColumnId="2"/>
      <queryTableField id="3" name="room_type" tableColumnId="3"/>
      <queryTableField id="4" name="price_per_night" tableColumnId="4"/>
      <queryTableField id="5" name="room_status" tableColumnId="5"/>
      <queryTableField id="6" name="Description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F3F62FF-8C43-47BD-ADEA-65B3EC46B5BF}" autoFormatId="16" applyNumberFormats="0" applyBorderFormats="0" applyFontFormats="0" applyPatternFormats="0" applyAlignmentFormats="0" applyWidthHeightFormats="0">
  <queryTableRefresh nextId="8">
    <queryTableFields count="7">
      <queryTableField id="1" name="guest_id" tableColumnId="1"/>
      <queryTableField id="2" name="guest_name" tableColumnId="2"/>
      <queryTableField id="3" name="phone" tableColumnId="3"/>
      <queryTableField id="4" name="email" tableColumnId="4"/>
      <queryTableField id="5" name="city" tableColumnId="5"/>
      <queryTableField id="6" name="created_at" tableColumnId="6"/>
      <queryTableField id="7" name="Gender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68182D75-ED32-44A3-98AE-419A3C26A4F5}" autoFormatId="16" applyNumberFormats="0" applyBorderFormats="0" applyFontFormats="0" applyPatternFormats="0" applyAlignmentFormats="0" applyWidthHeightFormats="0">
  <queryTableRefresh nextId="5">
    <queryTableFields count="4">
      <queryTableField id="1" name="booking_service_id" tableColumnId="1"/>
      <queryTableField id="2" name="booking_id" tableColumnId="2"/>
      <queryTableField id="3" name="service_id" tableColumnId="3"/>
      <queryTableField id="4" name="quantity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6AF3564F-14D5-4D9D-9C59-1100C2CE7D54}" autoFormatId="16" applyNumberFormats="0" applyBorderFormats="0" applyFontFormats="0" applyPatternFormats="0" applyAlignmentFormats="0" applyWidthHeightFormats="0">
  <queryTableRefresh nextId="4">
    <queryTableFields count="3">
      <queryTableField id="1" name="service_id" tableColumnId="1"/>
      <queryTableField id="2" name="service_name" tableColumnId="2"/>
      <queryTableField id="3" name="service_price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3405A229-371F-445D-97A8-C1D523947771}" autoFormatId="16" applyNumberFormats="0" applyBorderFormats="0" applyFontFormats="0" applyPatternFormats="0" applyAlignmentFormats="0" applyWidthHeightFormats="0">
  <queryTableRefresh nextId="7">
    <queryTableFields count="6">
      <queryTableField id="1" name="payment_id" tableColumnId="1"/>
      <queryTableField id="2" name="booking_id" tableColumnId="2"/>
      <queryTableField id="3" name="payment_date" tableColumnId="3"/>
      <queryTableField id="4" name="amount" tableColumnId="4"/>
      <queryTableField id="5" name="payment_method" tableColumnId="5"/>
      <queryTableField id="6" name="payment_status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1AB58F5-8B6B-4905-8776-4DC13EA1AE16}" autoFormatId="16" applyNumberFormats="0" applyBorderFormats="0" applyFontFormats="0" applyPatternFormats="0" applyAlignmentFormats="0" applyWidthHeightFormats="0">
  <queryTableRefresh nextId="7">
    <queryTableFields count="6">
      <queryTableField id="1" name="booking_id" tableColumnId="1"/>
      <queryTableField id="2" name="guest_id" tableColumnId="2"/>
      <queryTableField id="3" name="room_id" tableColumnId="3"/>
      <queryTableField id="4" name="check_in_date" tableColumnId="4"/>
      <queryTableField id="5" name="check_out_date" tableColumnId="5"/>
      <queryTableField id="6" name="booking_status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7F0CB0C-DA79-4C4B-8825-CADA98E7563F}" autoFormatId="16" applyNumberFormats="0" applyBorderFormats="0" applyFontFormats="0" applyPatternFormats="0" applyAlignmentFormats="0" applyWidthHeightFormats="0">
  <queryTableRefresh nextId="8">
    <queryTableFields count="7">
      <queryTableField id="1" name="guest_id" tableColumnId="1"/>
      <queryTableField id="2" name="guest_name" tableColumnId="2"/>
      <queryTableField id="3" name="phone" tableColumnId="3"/>
      <queryTableField id="4" name="email" tableColumnId="4"/>
      <queryTableField id="5" name="city" tableColumnId="5"/>
      <queryTableField id="6" name="created_at" tableColumnId="6"/>
      <queryTableField id="7" name="Gend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C2EE572-F87C-4B08-9253-95C95C050B96}" name="booking_services13" displayName="booking_services13" ref="A1:D201" tableType="queryTable" totalsRowShown="0">
  <autoFilter ref="A1:D201" xr:uid="{395FA4A5-EF69-4A71-BD7F-B48D31E24855}"/>
  <tableColumns count="4">
    <tableColumn id="1" xr3:uid="{26E3E973-D3A2-4B38-BB0A-EB689A20ABAD}" uniqueName="1" name="booking_service_id" queryTableFieldId="1"/>
    <tableColumn id="2" xr3:uid="{4D81BE66-B489-4232-AC02-BD3047D5363D}" uniqueName="2" name="booking_id" queryTableFieldId="2"/>
    <tableColumn id="3" xr3:uid="{FEB5ED1F-F44E-4A6D-B614-6A6F772DDFC7}" uniqueName="3" name="service_id" queryTableFieldId="3"/>
    <tableColumn id="4" xr3:uid="{88A7E672-F48B-4F4D-A356-814ABE36CD3C}" uniqueName="4" name="quantity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44B552-A416-4219-85B6-12D97B6F2F9D}" name="services12" displayName="services12" ref="A1:C31" tableType="queryTable" totalsRowShown="0">
  <autoFilter ref="A1:C31" xr:uid="{E4FA2E34-AFF1-4C1D-816D-24F073308301}"/>
  <tableColumns count="3">
    <tableColumn id="1" xr3:uid="{A2EFD7FF-AB33-472E-85FA-1F092A16D577}" uniqueName="1" name="service_id" queryTableFieldId="1"/>
    <tableColumn id="2" xr3:uid="{E18C6BFC-F9DB-42E3-AF92-B9FF92EAFE78}" uniqueName="2" name="service_name" queryTableFieldId="2" dataDxfId="51"/>
    <tableColumn id="3" xr3:uid="{480E8CBF-0087-4FC1-B862-86543FB2AEB0}" uniqueName="3" name="service_pric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504EA6A-8271-40DC-BC14-03B0828F73F4}" name="payments11" displayName="payments11" ref="A1:F151" tableType="queryTable" totalsRowShown="0">
  <autoFilter ref="A1:F151" xr:uid="{6BCD64F9-D1DE-4904-8471-137A020117B4}"/>
  <tableColumns count="6">
    <tableColumn id="1" xr3:uid="{DA7358E4-231F-41B7-9C78-41704B25F9FC}" uniqueName="1" name="payment_id" queryTableFieldId="1"/>
    <tableColumn id="2" xr3:uid="{9ACAFC49-0077-4176-ACA7-F3ACABD18DCD}" uniqueName="2" name="booking_id" queryTableFieldId="2"/>
    <tableColumn id="3" xr3:uid="{79C00732-2547-4089-8FEF-59454D71EAFC}" uniqueName="3" name="payment_date" queryTableFieldId="3" dataDxfId="50"/>
    <tableColumn id="4" xr3:uid="{89238AEB-2481-4667-8FEA-0D3E3CE0589A}" uniqueName="4" name="amount" queryTableFieldId="4"/>
    <tableColumn id="5" xr3:uid="{2CB3FFD6-E9F4-43DD-93F4-8A5585DF95DC}" uniqueName="5" name="payment_method" queryTableFieldId="5" dataDxfId="49"/>
    <tableColumn id="6" xr3:uid="{BA953F47-E4E1-4334-AC08-2D7E8EB0D743}" uniqueName="6" name="payment_status" queryTableFieldId="6" dataDxfId="4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2936E1-E270-4694-98C7-3BDC67332294}" name="bookings10" displayName="bookings10" ref="A1:J151" tableType="queryTable" totalsRowShown="0">
  <autoFilter ref="A1:J151" xr:uid="{4A1FC0F1-4721-4473-8FFA-3A3770B529B5}"/>
  <tableColumns count="10">
    <tableColumn id="1" xr3:uid="{CBA6F285-413F-4CFF-8D73-CD078D9F0517}" uniqueName="1" name="booking_id" queryTableFieldId="1"/>
    <tableColumn id="2" xr3:uid="{93796F94-A70A-4078-AF88-BEB80CE2BE5D}" uniqueName="2" name="guest_id" queryTableFieldId="2"/>
    <tableColumn id="3" xr3:uid="{14605FFC-7A00-4E27-97B4-D71E417EBF4A}" uniqueName="3" name="room_id" queryTableFieldId="3"/>
    <tableColumn id="4" xr3:uid="{651053E2-EDB2-4FB7-BAC1-F46C9946DB89}" uniqueName="4" name="check_in_date" queryTableFieldId="4" dataDxfId="47"/>
    <tableColumn id="5" xr3:uid="{3625F10B-995A-4B09-9E7A-8100310588D5}" uniqueName="5" name="check_out_date" queryTableFieldId="5" dataDxfId="46"/>
    <tableColumn id="6" xr3:uid="{157D50AD-FDA8-40FF-8A90-B64EC7BF3CC9}" uniqueName="6" name="booking_status" queryTableFieldId="6" dataDxfId="45"/>
    <tableColumn id="7" xr3:uid="{DB197494-4EBC-4F88-BAA4-577D19C993CA}" uniqueName="7" name="Room Type Lookup" queryTableFieldId="7" dataDxfId="3">
      <calculatedColumnFormula>_xlfn.XLOOKUP(C2,Rooms_Clean!$A$2:$A$51,Rooms_Clean!$C$2:$C$51,"Not Found")</calculatedColumnFormula>
    </tableColumn>
    <tableColumn id="8" xr3:uid="{4A76724D-F37C-49B8-8878-1AA37D367C0E}" uniqueName="8" name="Guest Name Lookup" queryTableFieldId="8" dataDxfId="2">
      <calculatedColumnFormula>_xlfn.XLOOKUP(B2,Guests_Clean!$A$2:$A$101,Guests_Clean!$B$2:$B$101)</calculatedColumnFormula>
    </tableColumn>
    <tableColumn id="9" xr3:uid="{F79D873C-A445-49B0-92CF-8939CF59B4E3}" uniqueName="9" name="Room Type Lookup2" queryTableFieldId="9" dataDxfId="1">
      <calculatedColumnFormula>VLOOKUP(bookings10[[#This Row],[room_id]],rooms9[[room_id]:[room_type]],3,0)</calculatedColumnFormula>
    </tableColumn>
    <tableColumn id="10" xr3:uid="{233B933B-6E8C-4408-857E-3E8C99FFCC02}" uniqueName="10" name="Guest City Lookup" queryTableFieldId="10" dataDxfId="0">
      <calculatedColumnFormula>VLOOKUP(bookings10[[#This Row],[guest_id]],guests8[[guest_id]:[city]],5,0)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B490CF0-EBE0-4C55-B266-90F2754B211C}" name="rooms9" displayName="rooms9" ref="A1:H51" tableType="queryTable" totalsRowShown="0">
  <autoFilter ref="A1:H51" xr:uid="{C13D826B-4C56-4168-8EE5-7CBF060875E9}"/>
  <tableColumns count="8">
    <tableColumn id="1" xr3:uid="{ED0086DE-1E4D-4CD4-98DD-0554E118B464}" uniqueName="1" name="room_id" queryTableFieldId="1"/>
    <tableColumn id="2" xr3:uid="{D89EC7A7-9283-499C-9BFA-86A90076917B}" uniqueName="2" name="room_number" queryTableFieldId="2"/>
    <tableColumn id="3" xr3:uid="{BE575C4A-5ACE-4877-A314-7D7211E9EEAC}" uniqueName="3" name="room_type" queryTableFieldId="3" dataDxfId="44"/>
    <tableColumn id="4" xr3:uid="{757776BD-1D50-4945-9315-2F4AD277EB73}" uniqueName="4" name="price_per_night" queryTableFieldId="4"/>
    <tableColumn id="5" xr3:uid="{AA12661B-97B1-4CA9-86AC-316BBD755AA4}" uniqueName="5" name="room_status" queryTableFieldId="5" dataDxfId="43"/>
    <tableColumn id="6" xr3:uid="{2A7BDF8E-CA06-44D3-9CDE-2403509EA5CD}" uniqueName="6" name="Description" queryTableFieldId="6" dataDxfId="42"/>
    <tableColumn id="7" xr3:uid="{7056BEFB-98F9-4EEA-BCB2-9954940D409E}" uniqueName="7" name="Room Available Statues" queryTableFieldId="7" dataDxfId="18">
      <calculatedColumnFormula>IF(rooms9[[#This Row],[room_status]]="Available","Vecant","Not Available")</calculatedColumnFormula>
    </tableColumn>
    <tableColumn id="8" xr3:uid="{EFEE8623-CB46-4D7B-97C3-E5B30E8F8CAD}" uniqueName="8" name="Room Price Category &gt;3K = Premium" queryTableFieldId="8" dataDxfId="19">
      <calculatedColumnFormula>IF(rooms9[[#This Row],[price_per_night]]&gt;3000,"Premium","Regular")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3D826B-4C56-4168-8EE5-7CBF060875E9}" name="rooms" displayName="rooms" ref="A1:F51" tableType="queryTable" totalsRowShown="0">
  <autoFilter ref="A1:F51" xr:uid="{C13D826B-4C56-4168-8EE5-7CBF060875E9}"/>
  <tableColumns count="6">
    <tableColumn id="1" xr3:uid="{705BFFD1-F62A-4A0C-85B2-03DFCD0E5E0A}" uniqueName="1" name="room_id" queryTableFieldId="1"/>
    <tableColumn id="2" xr3:uid="{CABCF6C1-2D10-4B74-9FAD-BF2CF4A81906}" uniqueName="2" name="room_number" queryTableFieldId="2"/>
    <tableColumn id="3" xr3:uid="{0040CB63-FE34-4B63-8530-D3443BE69B25}" uniqueName="3" name="room_type" queryTableFieldId="3" dataDxfId="41"/>
    <tableColumn id="4" xr3:uid="{70B7C968-766F-4E45-9216-E69D0E8926B5}" uniqueName="4" name="price_per_night" queryTableFieldId="4"/>
    <tableColumn id="5" xr3:uid="{8FD4845B-1654-49AD-8A48-69A6F1897868}" uniqueName="5" name="room_status" queryTableFieldId="5" dataDxfId="40"/>
    <tableColumn id="6" xr3:uid="{CDA56F65-079A-43A0-AF9E-50DB9D3E3DED}" uniqueName="6" name="Description" queryTableFieldId="6" dataDxfId="3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F3043D-D514-47F6-AF6F-2D9CE1E3D35C}" name="guests8" displayName="guests8" ref="A1:G101" tableType="queryTable" totalsRowShown="0">
  <autoFilter ref="A1:G101" xr:uid="{B182EE60-B5C5-44F3-9322-A18A6B63003B}"/>
  <tableColumns count="7">
    <tableColumn id="1" xr3:uid="{18C0A5B1-8D81-4E56-9BBA-0359E94FC7D2}" uniqueName="1" name="guest_id" queryTableFieldId="1"/>
    <tableColumn id="2" xr3:uid="{10A5A3ED-89D8-4D6F-892E-A3DCD5921350}" uniqueName="2" name="guest_name" queryTableFieldId="2" dataDxfId="38"/>
    <tableColumn id="3" xr3:uid="{7A49033D-0C73-418A-B980-0F6D4FB2059D}" uniqueName="3" name="phone" queryTableFieldId="3" dataDxfId="37"/>
    <tableColumn id="4" xr3:uid="{9FB8E134-FC16-45B3-88F8-C7A89B33CBB1}" uniqueName="4" name="email" queryTableFieldId="4" dataDxfId="36"/>
    <tableColumn id="5" xr3:uid="{60D588DA-0B97-4A14-9E5D-1F0B5841315F}" uniqueName="5" name="city" queryTableFieldId="5" dataDxfId="35"/>
    <tableColumn id="6" xr3:uid="{3974FF88-8531-41F0-9162-2CEC9A2964E7}" uniqueName="6" name="created_at" queryTableFieldId="6" dataDxfId="34"/>
    <tableColumn id="7" xr3:uid="{871F4893-6CDE-4E44-9365-2DF8D1D14D8A}" uniqueName="7" name="Gender" queryTableFieldId="7" dataDxfId="3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5FA4A5-EF69-4A71-BD7F-B48D31E24855}" name="booking_services" displayName="booking_services" ref="A1:D201" tableType="queryTable" totalsRowShown="0">
  <autoFilter ref="A1:D201" xr:uid="{395FA4A5-EF69-4A71-BD7F-B48D31E24855}"/>
  <tableColumns count="4">
    <tableColumn id="1" xr3:uid="{8085ABFB-4981-44C3-9549-A1DCD24CB983}" uniqueName="1" name="booking_service_id" queryTableFieldId="1"/>
    <tableColumn id="2" xr3:uid="{F0505A35-D523-4A05-B37E-3E26A9C57D60}" uniqueName="2" name="booking_id" queryTableFieldId="2"/>
    <tableColumn id="3" xr3:uid="{301500A8-FDBE-47FF-8B1A-CA603CF24C2B}" uniqueName="3" name="service_id" queryTableFieldId="3"/>
    <tableColumn id="4" xr3:uid="{E7EF49B6-5F1F-4238-905C-61CAD38A4A77}" uniqueName="4" name="quantity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FA2E34-AFF1-4C1D-816D-24F073308301}" name="services" displayName="services" ref="A1:C31" tableType="queryTable" totalsRowShown="0">
  <autoFilter ref="A1:C31" xr:uid="{E4FA2E34-AFF1-4C1D-816D-24F073308301}"/>
  <tableColumns count="3">
    <tableColumn id="1" xr3:uid="{28E20199-A7B6-405F-BE1B-8440FDB4BE44}" uniqueName="1" name="service_id" queryTableFieldId="1"/>
    <tableColumn id="2" xr3:uid="{87B7657C-1143-4CC6-8952-4BCC0BF635DD}" uniqueName="2" name="service_name" queryTableFieldId="2" dataDxfId="32"/>
    <tableColumn id="3" xr3:uid="{E75FA0B4-666F-4E28-9689-803752444989}" uniqueName="3" name="service_price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CD64F9-D1DE-4904-8471-137A020117B4}" name="payments" displayName="payments" ref="A1:F151" tableType="queryTable" totalsRowShown="0">
  <autoFilter ref="A1:F151" xr:uid="{6BCD64F9-D1DE-4904-8471-137A020117B4}"/>
  <tableColumns count="6">
    <tableColumn id="1" xr3:uid="{72DBBE58-949C-408B-A1AA-6AAF03A2D9FE}" uniqueName="1" name="payment_id" queryTableFieldId="1"/>
    <tableColumn id="2" xr3:uid="{229DB4AB-8DEF-4C2E-9D1A-D3048CF8462A}" uniqueName="2" name="booking_id" queryTableFieldId="2"/>
    <tableColumn id="3" xr3:uid="{D4544A62-0C02-45CD-89BA-772C525CDEC0}" uniqueName="3" name="payment_date" queryTableFieldId="3" dataDxfId="31"/>
    <tableColumn id="4" xr3:uid="{7B9B95B6-BAEF-4197-9D55-379CCB9DE92E}" uniqueName="4" name="amount" queryTableFieldId="4"/>
    <tableColumn id="5" xr3:uid="{B769B0B9-6475-4ECC-83C9-5B71E488B6C7}" uniqueName="5" name="payment_method" queryTableFieldId="5" dataDxfId="30"/>
    <tableColumn id="6" xr3:uid="{BFECDFA1-0308-4EF1-B5A0-8A20D9665FD5}" uniqueName="6" name="payment_status" queryTableFieldId="6" dataDxfId="2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1FC0F1-4721-4473-8FFA-3A3770B529B5}" name="bookings" displayName="bookings" ref="A1:F151" tableType="queryTable" totalsRowShown="0">
  <autoFilter ref="A1:F151" xr:uid="{4A1FC0F1-4721-4473-8FFA-3A3770B529B5}"/>
  <tableColumns count="6">
    <tableColumn id="1" xr3:uid="{D2204AB9-D9BC-4EC6-AEA8-F10967FC349C}" uniqueName="1" name="booking_id" queryTableFieldId="1"/>
    <tableColumn id="2" xr3:uid="{2A825883-FFD0-435E-90BC-47343103A039}" uniqueName="2" name="guest_id" queryTableFieldId="2"/>
    <tableColumn id="3" xr3:uid="{30DDDD98-7FC4-4BB7-96ED-191B2EA59A5A}" uniqueName="3" name="room_id" queryTableFieldId="3"/>
    <tableColumn id="4" xr3:uid="{61DE45D4-AD9D-4746-B55C-DACD8F7B43CB}" uniqueName="4" name="check_in_date" queryTableFieldId="4" dataDxfId="28"/>
    <tableColumn id="5" xr3:uid="{54B238E2-2948-42E8-9E28-55D9D3FD6322}" uniqueName="5" name="check_out_date" queryTableFieldId="5" dataDxfId="27"/>
    <tableColumn id="6" xr3:uid="{2488AA26-5E56-4A2A-8B7C-7A38D4170AC5}" uniqueName="6" name="booking_status" queryTableFieldId="6" dataDxfId="2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82EE60-B5C5-44F3-9322-A18A6B63003B}" name="guests" displayName="guests" ref="A1:G101" tableType="queryTable" totalsRowShown="0">
  <autoFilter ref="A1:G101" xr:uid="{B182EE60-B5C5-44F3-9322-A18A6B63003B}"/>
  <tableColumns count="7">
    <tableColumn id="1" xr3:uid="{F42F22C5-B94A-4680-AD3F-350981B1813C}" uniqueName="1" name="guest_id" queryTableFieldId="1"/>
    <tableColumn id="2" xr3:uid="{EFA94B2F-EC3D-461B-B823-AFD031B10FF1}" uniqueName="2" name="guest_name" queryTableFieldId="2" dataDxfId="25"/>
    <tableColumn id="3" xr3:uid="{F7708A11-EABE-4C07-A260-78241792E79E}" uniqueName="3" name="phone" queryTableFieldId="3" dataDxfId="24"/>
    <tableColumn id="4" xr3:uid="{D4A95706-7AB5-4D8C-8B54-59BB57F28786}" uniqueName="4" name="email" queryTableFieldId="4" dataDxfId="23"/>
    <tableColumn id="5" xr3:uid="{56EE1610-E0CB-443A-B59B-D6C527DD9C91}" uniqueName="5" name="city" queryTableFieldId="5" dataDxfId="22"/>
    <tableColumn id="6" xr3:uid="{352934F9-4ADA-4506-A8B3-030821EFCEF5}" uniqueName="6" name="created_at" queryTableFieldId="6" dataDxfId="21"/>
    <tableColumn id="7" xr3:uid="{26C399A1-9067-4D9D-9F4F-CA4F278C4C49}" uniqueName="7" name="Gender" queryTableFieldId="7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1CC7-3775-4CC5-B8E5-87E67DDA4539}">
  <dimension ref="A1:D201"/>
  <sheetViews>
    <sheetView workbookViewId="0">
      <selection activeCell="K3" sqref="K3"/>
    </sheetView>
  </sheetViews>
  <sheetFormatPr defaultRowHeight="14.4" x14ac:dyDescent="0.3"/>
  <cols>
    <col min="1" max="1" width="19.109375" bestFit="1" customWidth="1"/>
    <col min="2" max="2" width="12.21875" bestFit="1" customWidth="1"/>
    <col min="3" max="3" width="11.6640625" bestFit="1" customWidth="1"/>
    <col min="4" max="4" width="10.109375" bestFit="1" customWidth="1"/>
  </cols>
  <sheetData>
    <row r="1" spans="1:4" x14ac:dyDescent="0.3">
      <c r="A1" t="s">
        <v>377</v>
      </c>
      <c r="B1" t="s">
        <v>326</v>
      </c>
      <c r="C1" t="s">
        <v>344</v>
      </c>
      <c r="D1" t="s">
        <v>378</v>
      </c>
    </row>
    <row r="2" spans="1:4" x14ac:dyDescent="0.3">
      <c r="A2">
        <v>1</v>
      </c>
      <c r="B2">
        <v>1</v>
      </c>
      <c r="C2">
        <v>1</v>
      </c>
      <c r="D2">
        <v>2</v>
      </c>
    </row>
    <row r="3" spans="1:4" x14ac:dyDescent="0.3">
      <c r="A3">
        <v>2</v>
      </c>
      <c r="B3">
        <v>1</v>
      </c>
      <c r="C3">
        <v>4</v>
      </c>
      <c r="D3">
        <v>1</v>
      </c>
    </row>
    <row r="4" spans="1:4" x14ac:dyDescent="0.3">
      <c r="A4">
        <v>3</v>
      </c>
      <c r="B4">
        <v>2</v>
      </c>
      <c r="C4">
        <v>2</v>
      </c>
      <c r="D4">
        <v>2</v>
      </c>
    </row>
    <row r="5" spans="1:4" x14ac:dyDescent="0.3">
      <c r="A5">
        <v>4</v>
      </c>
      <c r="B5">
        <v>2</v>
      </c>
      <c r="C5">
        <v>3</v>
      </c>
      <c r="D5">
        <v>2</v>
      </c>
    </row>
    <row r="6" spans="1:4" x14ac:dyDescent="0.3">
      <c r="A6">
        <v>5</v>
      </c>
      <c r="B6">
        <v>3</v>
      </c>
      <c r="C6">
        <v>1</v>
      </c>
      <c r="D6">
        <v>1</v>
      </c>
    </row>
    <row r="7" spans="1:4" x14ac:dyDescent="0.3">
      <c r="A7">
        <v>6</v>
      </c>
      <c r="B7">
        <v>4</v>
      </c>
      <c r="C7">
        <v>5</v>
      </c>
      <c r="D7">
        <v>2</v>
      </c>
    </row>
    <row r="8" spans="1:4" x14ac:dyDescent="0.3">
      <c r="A8">
        <v>7</v>
      </c>
      <c r="B8">
        <v>4</v>
      </c>
      <c r="C8">
        <v>7</v>
      </c>
      <c r="D8">
        <v>1</v>
      </c>
    </row>
    <row r="9" spans="1:4" ht="9.6" customHeight="1" x14ac:dyDescent="0.3">
      <c r="A9">
        <v>8</v>
      </c>
      <c r="B9">
        <v>5</v>
      </c>
      <c r="C9">
        <v>6</v>
      </c>
      <c r="D9">
        <v>1</v>
      </c>
    </row>
    <row r="10" spans="1:4" hidden="1" x14ac:dyDescent="0.3">
      <c r="A10">
        <v>9</v>
      </c>
      <c r="B10">
        <v>6</v>
      </c>
      <c r="C10">
        <v>8</v>
      </c>
      <c r="D10">
        <v>2</v>
      </c>
    </row>
    <row r="11" spans="1:4" hidden="1" x14ac:dyDescent="0.3">
      <c r="A11">
        <v>10</v>
      </c>
      <c r="B11">
        <v>8</v>
      </c>
      <c r="C11">
        <v>9</v>
      </c>
      <c r="D11">
        <v>1</v>
      </c>
    </row>
    <row r="12" spans="1:4" hidden="1" x14ac:dyDescent="0.3">
      <c r="A12">
        <v>11</v>
      </c>
      <c r="B12">
        <v>9</v>
      </c>
      <c r="C12">
        <v>10</v>
      </c>
      <c r="D12">
        <v>2</v>
      </c>
    </row>
    <row r="13" spans="1:4" hidden="1" x14ac:dyDescent="0.3">
      <c r="A13">
        <v>12</v>
      </c>
      <c r="B13">
        <v>10</v>
      </c>
      <c r="C13">
        <v>3</v>
      </c>
      <c r="D13">
        <v>3</v>
      </c>
    </row>
    <row r="14" spans="1:4" hidden="1" x14ac:dyDescent="0.3">
      <c r="A14">
        <v>13</v>
      </c>
      <c r="B14">
        <v>11</v>
      </c>
      <c r="C14">
        <v>11</v>
      </c>
      <c r="D14">
        <v>2</v>
      </c>
    </row>
    <row r="15" spans="1:4" hidden="1" x14ac:dyDescent="0.3">
      <c r="A15">
        <v>14</v>
      </c>
      <c r="B15">
        <v>11</v>
      </c>
      <c r="C15">
        <v>12</v>
      </c>
      <c r="D15">
        <v>1</v>
      </c>
    </row>
    <row r="16" spans="1:4" hidden="1" x14ac:dyDescent="0.3">
      <c r="A16">
        <v>15</v>
      </c>
      <c r="B16">
        <v>12</v>
      </c>
      <c r="C16">
        <v>13</v>
      </c>
      <c r="D16">
        <v>2</v>
      </c>
    </row>
    <row r="17" spans="1:4" x14ac:dyDescent="0.3">
      <c r="A17">
        <v>16</v>
      </c>
      <c r="B17">
        <v>12</v>
      </c>
      <c r="C17">
        <v>14</v>
      </c>
      <c r="D17">
        <v>1</v>
      </c>
    </row>
    <row r="18" spans="1:4" x14ac:dyDescent="0.3">
      <c r="A18">
        <v>17</v>
      </c>
      <c r="B18">
        <v>13</v>
      </c>
      <c r="C18">
        <v>15</v>
      </c>
      <c r="D18">
        <v>1</v>
      </c>
    </row>
    <row r="19" spans="1:4" x14ac:dyDescent="0.3">
      <c r="A19">
        <v>18</v>
      </c>
      <c r="B19">
        <v>14</v>
      </c>
      <c r="C19">
        <v>4</v>
      </c>
      <c r="D19">
        <v>2</v>
      </c>
    </row>
    <row r="20" spans="1:4" x14ac:dyDescent="0.3">
      <c r="A20">
        <v>19</v>
      </c>
      <c r="B20">
        <v>14</v>
      </c>
      <c r="C20">
        <v>6</v>
      </c>
      <c r="D20">
        <v>1</v>
      </c>
    </row>
    <row r="21" spans="1:4" x14ac:dyDescent="0.3">
      <c r="A21">
        <v>20</v>
      </c>
      <c r="B21">
        <v>15</v>
      </c>
      <c r="C21">
        <v>10</v>
      </c>
      <c r="D21">
        <v>2</v>
      </c>
    </row>
    <row r="22" spans="1:4" x14ac:dyDescent="0.3">
      <c r="A22">
        <v>21</v>
      </c>
      <c r="B22">
        <v>16</v>
      </c>
      <c r="C22">
        <v>28</v>
      </c>
      <c r="D22">
        <v>1</v>
      </c>
    </row>
    <row r="23" spans="1:4" x14ac:dyDescent="0.3">
      <c r="A23">
        <v>22</v>
      </c>
      <c r="B23">
        <v>17</v>
      </c>
      <c r="C23">
        <v>5</v>
      </c>
      <c r="D23">
        <v>2</v>
      </c>
    </row>
    <row r="24" spans="1:4" x14ac:dyDescent="0.3">
      <c r="A24">
        <v>23</v>
      </c>
      <c r="B24">
        <v>18</v>
      </c>
      <c r="C24">
        <v>12</v>
      </c>
      <c r="D24">
        <v>3</v>
      </c>
    </row>
    <row r="25" spans="1:4" x14ac:dyDescent="0.3">
      <c r="A25">
        <v>24</v>
      </c>
      <c r="B25">
        <v>19</v>
      </c>
      <c r="C25">
        <v>19</v>
      </c>
      <c r="D25">
        <v>1</v>
      </c>
    </row>
    <row r="26" spans="1:4" x14ac:dyDescent="0.3">
      <c r="A26">
        <v>25</v>
      </c>
      <c r="B26">
        <v>20</v>
      </c>
      <c r="C26">
        <v>26</v>
      </c>
      <c r="D26">
        <v>2</v>
      </c>
    </row>
    <row r="27" spans="1:4" x14ac:dyDescent="0.3">
      <c r="A27">
        <v>26</v>
      </c>
      <c r="B27">
        <v>21</v>
      </c>
      <c r="C27">
        <v>3</v>
      </c>
      <c r="D27">
        <v>3</v>
      </c>
    </row>
    <row r="28" spans="1:4" x14ac:dyDescent="0.3">
      <c r="A28">
        <v>27</v>
      </c>
      <c r="B28">
        <v>22</v>
      </c>
      <c r="C28">
        <v>10</v>
      </c>
      <c r="D28">
        <v>1</v>
      </c>
    </row>
    <row r="29" spans="1:4" x14ac:dyDescent="0.3">
      <c r="A29">
        <v>28</v>
      </c>
      <c r="B29">
        <v>23</v>
      </c>
      <c r="C29">
        <v>17</v>
      </c>
      <c r="D29">
        <v>2</v>
      </c>
    </row>
    <row r="30" spans="1:4" x14ac:dyDescent="0.3">
      <c r="A30">
        <v>29</v>
      </c>
      <c r="B30">
        <v>24</v>
      </c>
      <c r="C30">
        <v>24</v>
      </c>
      <c r="D30">
        <v>3</v>
      </c>
    </row>
    <row r="31" spans="1:4" x14ac:dyDescent="0.3">
      <c r="A31">
        <v>30</v>
      </c>
      <c r="B31">
        <v>25</v>
      </c>
      <c r="C31">
        <v>1</v>
      </c>
      <c r="D31">
        <v>1</v>
      </c>
    </row>
    <row r="32" spans="1:4" x14ac:dyDescent="0.3">
      <c r="A32">
        <v>31</v>
      </c>
      <c r="B32">
        <v>26</v>
      </c>
      <c r="C32">
        <v>8</v>
      </c>
      <c r="D32">
        <v>2</v>
      </c>
    </row>
    <row r="33" spans="1:4" x14ac:dyDescent="0.3">
      <c r="A33">
        <v>32</v>
      </c>
      <c r="B33">
        <v>27</v>
      </c>
      <c r="C33">
        <v>15</v>
      </c>
      <c r="D33">
        <v>3</v>
      </c>
    </row>
    <row r="34" spans="1:4" x14ac:dyDescent="0.3">
      <c r="A34">
        <v>33</v>
      </c>
      <c r="B34">
        <v>28</v>
      </c>
      <c r="C34">
        <v>22</v>
      </c>
      <c r="D34">
        <v>1</v>
      </c>
    </row>
    <row r="35" spans="1:4" x14ac:dyDescent="0.3">
      <c r="A35">
        <v>34</v>
      </c>
      <c r="B35">
        <v>29</v>
      </c>
      <c r="C35">
        <v>29</v>
      </c>
      <c r="D35">
        <v>2</v>
      </c>
    </row>
    <row r="36" spans="1:4" x14ac:dyDescent="0.3">
      <c r="A36">
        <v>35</v>
      </c>
      <c r="B36">
        <v>30</v>
      </c>
      <c r="C36">
        <v>6</v>
      </c>
      <c r="D36">
        <v>3</v>
      </c>
    </row>
    <row r="37" spans="1:4" x14ac:dyDescent="0.3">
      <c r="A37">
        <v>36</v>
      </c>
      <c r="B37">
        <v>31</v>
      </c>
      <c r="C37">
        <v>13</v>
      </c>
      <c r="D37">
        <v>1</v>
      </c>
    </row>
    <row r="38" spans="1:4" x14ac:dyDescent="0.3">
      <c r="A38">
        <v>37</v>
      </c>
      <c r="B38">
        <v>32</v>
      </c>
      <c r="C38">
        <v>20</v>
      </c>
      <c r="D38">
        <v>2</v>
      </c>
    </row>
    <row r="39" spans="1:4" x14ac:dyDescent="0.3">
      <c r="A39">
        <v>38</v>
      </c>
      <c r="B39">
        <v>33</v>
      </c>
      <c r="C39">
        <v>27</v>
      </c>
      <c r="D39">
        <v>3</v>
      </c>
    </row>
    <row r="40" spans="1:4" x14ac:dyDescent="0.3">
      <c r="A40">
        <v>39</v>
      </c>
      <c r="B40">
        <v>34</v>
      </c>
      <c r="C40">
        <v>4</v>
      </c>
      <c r="D40">
        <v>1</v>
      </c>
    </row>
    <row r="41" spans="1:4" x14ac:dyDescent="0.3">
      <c r="A41">
        <v>40</v>
      </c>
      <c r="B41">
        <v>35</v>
      </c>
      <c r="C41">
        <v>11</v>
      </c>
      <c r="D41">
        <v>2</v>
      </c>
    </row>
    <row r="42" spans="1:4" x14ac:dyDescent="0.3">
      <c r="A42">
        <v>41</v>
      </c>
      <c r="B42">
        <v>36</v>
      </c>
      <c r="C42">
        <v>18</v>
      </c>
      <c r="D42">
        <v>3</v>
      </c>
    </row>
    <row r="43" spans="1:4" x14ac:dyDescent="0.3">
      <c r="A43">
        <v>42</v>
      </c>
      <c r="B43">
        <v>37</v>
      </c>
      <c r="C43">
        <v>25</v>
      </c>
      <c r="D43">
        <v>1</v>
      </c>
    </row>
    <row r="44" spans="1:4" x14ac:dyDescent="0.3">
      <c r="A44">
        <v>43</v>
      </c>
      <c r="B44">
        <v>38</v>
      </c>
      <c r="C44">
        <v>2</v>
      </c>
      <c r="D44">
        <v>2</v>
      </c>
    </row>
    <row r="45" spans="1:4" x14ac:dyDescent="0.3">
      <c r="A45">
        <v>44</v>
      </c>
      <c r="B45">
        <v>39</v>
      </c>
      <c r="C45">
        <v>9</v>
      </c>
      <c r="D45">
        <v>3</v>
      </c>
    </row>
    <row r="46" spans="1:4" x14ac:dyDescent="0.3">
      <c r="A46">
        <v>45</v>
      </c>
      <c r="B46">
        <v>40</v>
      </c>
      <c r="C46">
        <v>16</v>
      </c>
      <c r="D46">
        <v>1</v>
      </c>
    </row>
    <row r="47" spans="1:4" x14ac:dyDescent="0.3">
      <c r="A47">
        <v>46</v>
      </c>
      <c r="B47">
        <v>41</v>
      </c>
      <c r="C47">
        <v>23</v>
      </c>
      <c r="D47">
        <v>2</v>
      </c>
    </row>
    <row r="48" spans="1:4" x14ac:dyDescent="0.3">
      <c r="A48">
        <v>47</v>
      </c>
      <c r="B48">
        <v>42</v>
      </c>
      <c r="C48">
        <v>30</v>
      </c>
      <c r="D48">
        <v>3</v>
      </c>
    </row>
    <row r="49" spans="1:4" x14ac:dyDescent="0.3">
      <c r="A49">
        <v>48</v>
      </c>
      <c r="B49">
        <v>43</v>
      </c>
      <c r="C49">
        <v>7</v>
      </c>
      <c r="D49">
        <v>1</v>
      </c>
    </row>
    <row r="50" spans="1:4" x14ac:dyDescent="0.3">
      <c r="A50">
        <v>49</v>
      </c>
      <c r="B50">
        <v>44</v>
      </c>
      <c r="C50">
        <v>14</v>
      </c>
      <c r="D50">
        <v>2</v>
      </c>
    </row>
    <row r="51" spans="1:4" x14ac:dyDescent="0.3">
      <c r="A51">
        <v>50</v>
      </c>
      <c r="B51">
        <v>45</v>
      </c>
      <c r="C51">
        <v>21</v>
      </c>
      <c r="D51">
        <v>3</v>
      </c>
    </row>
    <row r="52" spans="1:4" x14ac:dyDescent="0.3">
      <c r="A52">
        <v>51</v>
      </c>
      <c r="B52">
        <v>46</v>
      </c>
      <c r="C52">
        <v>28</v>
      </c>
      <c r="D52">
        <v>1</v>
      </c>
    </row>
    <row r="53" spans="1:4" x14ac:dyDescent="0.3">
      <c r="A53">
        <v>52</v>
      </c>
      <c r="B53">
        <v>47</v>
      </c>
      <c r="C53">
        <v>5</v>
      </c>
      <c r="D53">
        <v>2</v>
      </c>
    </row>
    <row r="54" spans="1:4" x14ac:dyDescent="0.3">
      <c r="A54">
        <v>53</v>
      </c>
      <c r="B54">
        <v>48</v>
      </c>
      <c r="C54">
        <v>12</v>
      </c>
      <c r="D54">
        <v>3</v>
      </c>
    </row>
    <row r="55" spans="1:4" x14ac:dyDescent="0.3">
      <c r="A55">
        <v>54</v>
      </c>
      <c r="B55">
        <v>49</v>
      </c>
      <c r="C55">
        <v>19</v>
      </c>
      <c r="D55">
        <v>1</v>
      </c>
    </row>
    <row r="56" spans="1:4" x14ac:dyDescent="0.3">
      <c r="A56">
        <v>55</v>
      </c>
      <c r="B56">
        <v>50</v>
      </c>
      <c r="C56">
        <v>26</v>
      </c>
      <c r="D56">
        <v>2</v>
      </c>
    </row>
    <row r="57" spans="1:4" x14ac:dyDescent="0.3">
      <c r="A57">
        <v>56</v>
      </c>
      <c r="B57">
        <v>51</v>
      </c>
      <c r="C57">
        <v>3</v>
      </c>
      <c r="D57">
        <v>3</v>
      </c>
    </row>
    <row r="58" spans="1:4" x14ac:dyDescent="0.3">
      <c r="A58">
        <v>57</v>
      </c>
      <c r="B58">
        <v>52</v>
      </c>
      <c r="C58">
        <v>10</v>
      </c>
      <c r="D58">
        <v>1</v>
      </c>
    </row>
    <row r="59" spans="1:4" x14ac:dyDescent="0.3">
      <c r="A59">
        <v>58</v>
      </c>
      <c r="B59">
        <v>53</v>
      </c>
      <c r="C59">
        <v>17</v>
      </c>
      <c r="D59">
        <v>2</v>
      </c>
    </row>
    <row r="60" spans="1:4" x14ac:dyDescent="0.3">
      <c r="A60">
        <v>59</v>
      </c>
      <c r="B60">
        <v>54</v>
      </c>
      <c r="C60">
        <v>24</v>
      </c>
      <c r="D60">
        <v>3</v>
      </c>
    </row>
    <row r="61" spans="1:4" x14ac:dyDescent="0.3">
      <c r="A61">
        <v>60</v>
      </c>
      <c r="B61">
        <v>55</v>
      </c>
      <c r="C61">
        <v>1</v>
      </c>
      <c r="D61">
        <v>1</v>
      </c>
    </row>
    <row r="62" spans="1:4" x14ac:dyDescent="0.3">
      <c r="A62">
        <v>61</v>
      </c>
      <c r="B62">
        <v>56</v>
      </c>
      <c r="C62">
        <v>8</v>
      </c>
      <c r="D62">
        <v>2</v>
      </c>
    </row>
    <row r="63" spans="1:4" x14ac:dyDescent="0.3">
      <c r="A63">
        <v>62</v>
      </c>
      <c r="B63">
        <v>57</v>
      </c>
      <c r="C63">
        <v>15</v>
      </c>
      <c r="D63">
        <v>3</v>
      </c>
    </row>
    <row r="64" spans="1:4" x14ac:dyDescent="0.3">
      <c r="A64">
        <v>63</v>
      </c>
      <c r="B64">
        <v>58</v>
      </c>
      <c r="C64">
        <v>22</v>
      </c>
      <c r="D64">
        <v>1</v>
      </c>
    </row>
    <row r="65" spans="1:4" x14ac:dyDescent="0.3">
      <c r="A65">
        <v>64</v>
      </c>
      <c r="B65">
        <v>59</v>
      </c>
      <c r="C65">
        <v>29</v>
      </c>
      <c r="D65">
        <v>2</v>
      </c>
    </row>
    <row r="66" spans="1:4" x14ac:dyDescent="0.3">
      <c r="A66">
        <v>65</v>
      </c>
      <c r="B66">
        <v>60</v>
      </c>
      <c r="C66">
        <v>6</v>
      </c>
      <c r="D66">
        <v>3</v>
      </c>
    </row>
    <row r="67" spans="1:4" x14ac:dyDescent="0.3">
      <c r="A67">
        <v>66</v>
      </c>
      <c r="B67">
        <v>61</v>
      </c>
      <c r="C67">
        <v>13</v>
      </c>
      <c r="D67">
        <v>1</v>
      </c>
    </row>
    <row r="68" spans="1:4" x14ac:dyDescent="0.3">
      <c r="A68">
        <v>67</v>
      </c>
      <c r="B68">
        <v>62</v>
      </c>
      <c r="C68">
        <v>20</v>
      </c>
      <c r="D68">
        <v>2</v>
      </c>
    </row>
    <row r="69" spans="1:4" x14ac:dyDescent="0.3">
      <c r="A69">
        <v>68</v>
      </c>
      <c r="B69">
        <v>63</v>
      </c>
      <c r="C69">
        <v>27</v>
      </c>
      <c r="D69">
        <v>3</v>
      </c>
    </row>
    <row r="70" spans="1:4" x14ac:dyDescent="0.3">
      <c r="A70">
        <v>69</v>
      </c>
      <c r="B70">
        <v>64</v>
      </c>
      <c r="C70">
        <v>4</v>
      </c>
      <c r="D70">
        <v>1</v>
      </c>
    </row>
    <row r="71" spans="1:4" x14ac:dyDescent="0.3">
      <c r="A71">
        <v>70</v>
      </c>
      <c r="B71">
        <v>65</v>
      </c>
      <c r="C71">
        <v>11</v>
      </c>
      <c r="D71">
        <v>2</v>
      </c>
    </row>
    <row r="72" spans="1:4" x14ac:dyDescent="0.3">
      <c r="A72">
        <v>71</v>
      </c>
      <c r="B72">
        <v>66</v>
      </c>
      <c r="C72">
        <v>18</v>
      </c>
      <c r="D72">
        <v>3</v>
      </c>
    </row>
    <row r="73" spans="1:4" x14ac:dyDescent="0.3">
      <c r="A73">
        <v>72</v>
      </c>
      <c r="B73">
        <v>67</v>
      </c>
      <c r="C73">
        <v>25</v>
      </c>
      <c r="D73">
        <v>1</v>
      </c>
    </row>
    <row r="74" spans="1:4" x14ac:dyDescent="0.3">
      <c r="A74">
        <v>73</v>
      </c>
      <c r="B74">
        <v>68</v>
      </c>
      <c r="C74">
        <v>2</v>
      </c>
      <c r="D74">
        <v>2</v>
      </c>
    </row>
    <row r="75" spans="1:4" x14ac:dyDescent="0.3">
      <c r="A75">
        <v>74</v>
      </c>
      <c r="B75">
        <v>69</v>
      </c>
      <c r="C75">
        <v>9</v>
      </c>
      <c r="D75">
        <v>3</v>
      </c>
    </row>
    <row r="76" spans="1:4" x14ac:dyDescent="0.3">
      <c r="A76">
        <v>75</v>
      </c>
      <c r="B76">
        <v>70</v>
      </c>
      <c r="C76">
        <v>16</v>
      </c>
      <c r="D76">
        <v>1</v>
      </c>
    </row>
    <row r="77" spans="1:4" x14ac:dyDescent="0.3">
      <c r="A77">
        <v>76</v>
      </c>
      <c r="B77">
        <v>71</v>
      </c>
      <c r="C77">
        <v>23</v>
      </c>
      <c r="D77">
        <v>2</v>
      </c>
    </row>
    <row r="78" spans="1:4" x14ac:dyDescent="0.3">
      <c r="A78">
        <v>77</v>
      </c>
      <c r="B78">
        <v>72</v>
      </c>
      <c r="C78">
        <v>30</v>
      </c>
      <c r="D78">
        <v>3</v>
      </c>
    </row>
    <row r="79" spans="1:4" x14ac:dyDescent="0.3">
      <c r="A79">
        <v>78</v>
      </c>
      <c r="B79">
        <v>73</v>
      </c>
      <c r="C79">
        <v>7</v>
      </c>
      <c r="D79">
        <v>1</v>
      </c>
    </row>
    <row r="80" spans="1:4" x14ac:dyDescent="0.3">
      <c r="A80">
        <v>79</v>
      </c>
      <c r="B80">
        <v>74</v>
      </c>
      <c r="C80">
        <v>14</v>
      </c>
      <c r="D80">
        <v>2</v>
      </c>
    </row>
    <row r="81" spans="1:4" x14ac:dyDescent="0.3">
      <c r="A81">
        <v>80</v>
      </c>
      <c r="B81">
        <v>75</v>
      </c>
      <c r="C81">
        <v>21</v>
      </c>
      <c r="D81">
        <v>3</v>
      </c>
    </row>
    <row r="82" spans="1:4" x14ac:dyDescent="0.3">
      <c r="A82">
        <v>81</v>
      </c>
      <c r="B82">
        <v>76</v>
      </c>
      <c r="C82">
        <v>28</v>
      </c>
      <c r="D82">
        <v>1</v>
      </c>
    </row>
    <row r="83" spans="1:4" x14ac:dyDescent="0.3">
      <c r="A83">
        <v>82</v>
      </c>
      <c r="B83">
        <v>77</v>
      </c>
      <c r="C83">
        <v>5</v>
      </c>
      <c r="D83">
        <v>2</v>
      </c>
    </row>
    <row r="84" spans="1:4" x14ac:dyDescent="0.3">
      <c r="A84">
        <v>83</v>
      </c>
      <c r="B84">
        <v>78</v>
      </c>
      <c r="C84">
        <v>12</v>
      </c>
      <c r="D84">
        <v>3</v>
      </c>
    </row>
    <row r="85" spans="1:4" x14ac:dyDescent="0.3">
      <c r="A85">
        <v>84</v>
      </c>
      <c r="B85">
        <v>79</v>
      </c>
      <c r="C85">
        <v>19</v>
      </c>
      <c r="D85">
        <v>1</v>
      </c>
    </row>
    <row r="86" spans="1:4" x14ac:dyDescent="0.3">
      <c r="A86">
        <v>85</v>
      </c>
      <c r="B86">
        <v>80</v>
      </c>
      <c r="C86">
        <v>26</v>
      </c>
      <c r="D86">
        <v>2</v>
      </c>
    </row>
    <row r="87" spans="1:4" x14ac:dyDescent="0.3">
      <c r="A87">
        <v>86</v>
      </c>
      <c r="B87">
        <v>81</v>
      </c>
      <c r="C87">
        <v>3</v>
      </c>
      <c r="D87">
        <v>3</v>
      </c>
    </row>
    <row r="88" spans="1:4" x14ac:dyDescent="0.3">
      <c r="A88">
        <v>87</v>
      </c>
      <c r="B88">
        <v>82</v>
      </c>
      <c r="C88">
        <v>10</v>
      </c>
      <c r="D88">
        <v>1</v>
      </c>
    </row>
    <row r="89" spans="1:4" x14ac:dyDescent="0.3">
      <c r="A89">
        <v>88</v>
      </c>
      <c r="B89">
        <v>83</v>
      </c>
      <c r="C89">
        <v>17</v>
      </c>
      <c r="D89">
        <v>2</v>
      </c>
    </row>
    <row r="90" spans="1:4" x14ac:dyDescent="0.3">
      <c r="A90">
        <v>89</v>
      </c>
      <c r="B90">
        <v>84</v>
      </c>
      <c r="C90">
        <v>24</v>
      </c>
      <c r="D90">
        <v>3</v>
      </c>
    </row>
    <row r="91" spans="1:4" x14ac:dyDescent="0.3">
      <c r="A91">
        <v>90</v>
      </c>
      <c r="B91">
        <v>85</v>
      </c>
      <c r="C91">
        <v>1</v>
      </c>
      <c r="D91">
        <v>1</v>
      </c>
    </row>
    <row r="92" spans="1:4" x14ac:dyDescent="0.3">
      <c r="A92">
        <v>91</v>
      </c>
      <c r="B92">
        <v>86</v>
      </c>
      <c r="C92">
        <v>8</v>
      </c>
      <c r="D92">
        <v>2</v>
      </c>
    </row>
    <row r="93" spans="1:4" x14ac:dyDescent="0.3">
      <c r="A93">
        <v>92</v>
      </c>
      <c r="B93">
        <v>87</v>
      </c>
      <c r="C93">
        <v>15</v>
      </c>
      <c r="D93">
        <v>3</v>
      </c>
    </row>
    <row r="94" spans="1:4" x14ac:dyDescent="0.3">
      <c r="A94">
        <v>93</v>
      </c>
      <c r="B94">
        <v>88</v>
      </c>
      <c r="C94">
        <v>22</v>
      </c>
      <c r="D94">
        <v>1</v>
      </c>
    </row>
    <row r="95" spans="1:4" x14ac:dyDescent="0.3">
      <c r="A95">
        <v>94</v>
      </c>
      <c r="B95">
        <v>89</v>
      </c>
      <c r="C95">
        <v>29</v>
      </c>
      <c r="D95">
        <v>2</v>
      </c>
    </row>
    <row r="96" spans="1:4" x14ac:dyDescent="0.3">
      <c r="A96">
        <v>95</v>
      </c>
      <c r="B96">
        <v>90</v>
      </c>
      <c r="C96">
        <v>6</v>
      </c>
      <c r="D96">
        <v>3</v>
      </c>
    </row>
    <row r="97" spans="1:4" x14ac:dyDescent="0.3">
      <c r="A97">
        <v>96</v>
      </c>
      <c r="B97">
        <v>91</v>
      </c>
      <c r="C97">
        <v>13</v>
      </c>
      <c r="D97">
        <v>1</v>
      </c>
    </row>
    <row r="98" spans="1:4" x14ac:dyDescent="0.3">
      <c r="A98">
        <v>97</v>
      </c>
      <c r="B98">
        <v>92</v>
      </c>
      <c r="C98">
        <v>20</v>
      </c>
      <c r="D98">
        <v>2</v>
      </c>
    </row>
    <row r="99" spans="1:4" x14ac:dyDescent="0.3">
      <c r="A99">
        <v>98</v>
      </c>
      <c r="B99">
        <v>93</v>
      </c>
      <c r="C99">
        <v>27</v>
      </c>
      <c r="D99">
        <v>3</v>
      </c>
    </row>
    <row r="100" spans="1:4" x14ac:dyDescent="0.3">
      <c r="A100">
        <v>99</v>
      </c>
      <c r="B100">
        <v>94</v>
      </c>
      <c r="C100">
        <v>4</v>
      </c>
      <c r="D100">
        <v>1</v>
      </c>
    </row>
    <row r="101" spans="1:4" x14ac:dyDescent="0.3">
      <c r="A101">
        <v>100</v>
      </c>
      <c r="B101">
        <v>95</v>
      </c>
      <c r="C101">
        <v>11</v>
      </c>
      <c r="D101">
        <v>2</v>
      </c>
    </row>
    <row r="102" spans="1:4" x14ac:dyDescent="0.3">
      <c r="A102">
        <v>101</v>
      </c>
      <c r="B102">
        <v>96</v>
      </c>
      <c r="C102">
        <v>18</v>
      </c>
      <c r="D102">
        <v>3</v>
      </c>
    </row>
    <row r="103" spans="1:4" x14ac:dyDescent="0.3">
      <c r="A103">
        <v>102</v>
      </c>
      <c r="B103">
        <v>97</v>
      </c>
      <c r="C103">
        <v>25</v>
      </c>
      <c r="D103">
        <v>1</v>
      </c>
    </row>
    <row r="104" spans="1:4" x14ac:dyDescent="0.3">
      <c r="A104">
        <v>103</v>
      </c>
      <c r="B104">
        <v>98</v>
      </c>
      <c r="C104">
        <v>2</v>
      </c>
      <c r="D104">
        <v>2</v>
      </c>
    </row>
    <row r="105" spans="1:4" x14ac:dyDescent="0.3">
      <c r="A105">
        <v>104</v>
      </c>
      <c r="B105">
        <v>99</v>
      </c>
      <c r="C105">
        <v>9</v>
      </c>
      <c r="D105">
        <v>3</v>
      </c>
    </row>
    <row r="106" spans="1:4" x14ac:dyDescent="0.3">
      <c r="A106">
        <v>105</v>
      </c>
      <c r="B106">
        <v>100</v>
      </c>
      <c r="C106">
        <v>16</v>
      </c>
      <c r="D106">
        <v>1</v>
      </c>
    </row>
    <row r="107" spans="1:4" x14ac:dyDescent="0.3">
      <c r="A107">
        <v>106</v>
      </c>
      <c r="B107">
        <v>101</v>
      </c>
      <c r="C107">
        <v>23</v>
      </c>
      <c r="D107">
        <v>2</v>
      </c>
    </row>
    <row r="108" spans="1:4" x14ac:dyDescent="0.3">
      <c r="A108">
        <v>107</v>
      </c>
      <c r="B108">
        <v>102</v>
      </c>
      <c r="C108">
        <v>30</v>
      </c>
      <c r="D108">
        <v>3</v>
      </c>
    </row>
    <row r="109" spans="1:4" x14ac:dyDescent="0.3">
      <c r="A109">
        <v>108</v>
      </c>
      <c r="B109">
        <v>103</v>
      </c>
      <c r="C109">
        <v>7</v>
      </c>
      <c r="D109">
        <v>1</v>
      </c>
    </row>
    <row r="110" spans="1:4" x14ac:dyDescent="0.3">
      <c r="A110">
        <v>109</v>
      </c>
      <c r="B110">
        <v>104</v>
      </c>
      <c r="C110">
        <v>14</v>
      </c>
      <c r="D110">
        <v>2</v>
      </c>
    </row>
    <row r="111" spans="1:4" x14ac:dyDescent="0.3">
      <c r="A111">
        <v>110</v>
      </c>
      <c r="B111">
        <v>105</v>
      </c>
      <c r="C111">
        <v>21</v>
      </c>
      <c r="D111">
        <v>3</v>
      </c>
    </row>
    <row r="112" spans="1:4" x14ac:dyDescent="0.3">
      <c r="A112">
        <v>111</v>
      </c>
      <c r="B112">
        <v>106</v>
      </c>
      <c r="C112">
        <v>28</v>
      </c>
      <c r="D112">
        <v>1</v>
      </c>
    </row>
    <row r="113" spans="1:4" x14ac:dyDescent="0.3">
      <c r="A113">
        <v>112</v>
      </c>
      <c r="B113">
        <v>107</v>
      </c>
      <c r="C113">
        <v>5</v>
      </c>
      <c r="D113">
        <v>2</v>
      </c>
    </row>
    <row r="114" spans="1:4" x14ac:dyDescent="0.3">
      <c r="A114">
        <v>113</v>
      </c>
      <c r="B114">
        <v>108</v>
      </c>
      <c r="C114">
        <v>12</v>
      </c>
      <c r="D114">
        <v>3</v>
      </c>
    </row>
    <row r="115" spans="1:4" x14ac:dyDescent="0.3">
      <c r="A115">
        <v>114</v>
      </c>
      <c r="B115">
        <v>109</v>
      </c>
      <c r="C115">
        <v>19</v>
      </c>
      <c r="D115">
        <v>1</v>
      </c>
    </row>
    <row r="116" spans="1:4" x14ac:dyDescent="0.3">
      <c r="A116">
        <v>115</v>
      </c>
      <c r="B116">
        <v>110</v>
      </c>
      <c r="C116">
        <v>26</v>
      </c>
      <c r="D116">
        <v>2</v>
      </c>
    </row>
    <row r="117" spans="1:4" x14ac:dyDescent="0.3">
      <c r="A117">
        <v>116</v>
      </c>
      <c r="B117">
        <v>111</v>
      </c>
      <c r="C117">
        <v>3</v>
      </c>
      <c r="D117">
        <v>3</v>
      </c>
    </row>
    <row r="118" spans="1:4" x14ac:dyDescent="0.3">
      <c r="A118">
        <v>117</v>
      </c>
      <c r="B118">
        <v>112</v>
      </c>
      <c r="C118">
        <v>10</v>
      </c>
      <c r="D118">
        <v>1</v>
      </c>
    </row>
    <row r="119" spans="1:4" x14ac:dyDescent="0.3">
      <c r="A119">
        <v>118</v>
      </c>
      <c r="B119">
        <v>113</v>
      </c>
      <c r="C119">
        <v>17</v>
      </c>
      <c r="D119">
        <v>2</v>
      </c>
    </row>
    <row r="120" spans="1:4" x14ac:dyDescent="0.3">
      <c r="A120">
        <v>119</v>
      </c>
      <c r="B120">
        <v>114</v>
      </c>
      <c r="C120">
        <v>24</v>
      </c>
      <c r="D120">
        <v>3</v>
      </c>
    </row>
    <row r="121" spans="1:4" x14ac:dyDescent="0.3">
      <c r="A121">
        <v>120</v>
      </c>
      <c r="B121">
        <v>115</v>
      </c>
      <c r="C121">
        <v>1</v>
      </c>
      <c r="D121">
        <v>1</v>
      </c>
    </row>
    <row r="122" spans="1:4" x14ac:dyDescent="0.3">
      <c r="A122">
        <v>121</v>
      </c>
      <c r="B122">
        <v>116</v>
      </c>
      <c r="C122">
        <v>8</v>
      </c>
      <c r="D122">
        <v>2</v>
      </c>
    </row>
    <row r="123" spans="1:4" x14ac:dyDescent="0.3">
      <c r="A123">
        <v>122</v>
      </c>
      <c r="B123">
        <v>117</v>
      </c>
      <c r="C123">
        <v>15</v>
      </c>
      <c r="D123">
        <v>3</v>
      </c>
    </row>
    <row r="124" spans="1:4" x14ac:dyDescent="0.3">
      <c r="A124">
        <v>123</v>
      </c>
      <c r="B124">
        <v>118</v>
      </c>
      <c r="C124">
        <v>22</v>
      </c>
      <c r="D124">
        <v>1</v>
      </c>
    </row>
    <row r="125" spans="1:4" x14ac:dyDescent="0.3">
      <c r="A125">
        <v>124</v>
      </c>
      <c r="B125">
        <v>119</v>
      </c>
      <c r="C125">
        <v>29</v>
      </c>
      <c r="D125">
        <v>2</v>
      </c>
    </row>
    <row r="126" spans="1:4" x14ac:dyDescent="0.3">
      <c r="A126">
        <v>125</v>
      </c>
      <c r="B126">
        <v>120</v>
      </c>
      <c r="C126">
        <v>6</v>
      </c>
      <c r="D126">
        <v>3</v>
      </c>
    </row>
    <row r="127" spans="1:4" x14ac:dyDescent="0.3">
      <c r="A127">
        <v>126</v>
      </c>
      <c r="B127">
        <v>121</v>
      </c>
      <c r="C127">
        <v>13</v>
      </c>
      <c r="D127">
        <v>1</v>
      </c>
    </row>
    <row r="128" spans="1:4" x14ac:dyDescent="0.3">
      <c r="A128">
        <v>127</v>
      </c>
      <c r="B128">
        <v>122</v>
      </c>
      <c r="C128">
        <v>20</v>
      </c>
      <c r="D128">
        <v>2</v>
      </c>
    </row>
    <row r="129" spans="1:4" x14ac:dyDescent="0.3">
      <c r="A129">
        <v>128</v>
      </c>
      <c r="B129">
        <v>123</v>
      </c>
      <c r="C129">
        <v>27</v>
      </c>
      <c r="D129">
        <v>3</v>
      </c>
    </row>
    <row r="130" spans="1:4" x14ac:dyDescent="0.3">
      <c r="A130">
        <v>129</v>
      </c>
      <c r="B130">
        <v>124</v>
      </c>
      <c r="C130">
        <v>4</v>
      </c>
      <c r="D130">
        <v>1</v>
      </c>
    </row>
    <row r="131" spans="1:4" x14ac:dyDescent="0.3">
      <c r="A131">
        <v>130</v>
      </c>
      <c r="B131">
        <v>125</v>
      </c>
      <c r="C131">
        <v>11</v>
      </c>
      <c r="D131">
        <v>2</v>
      </c>
    </row>
    <row r="132" spans="1:4" x14ac:dyDescent="0.3">
      <c r="A132">
        <v>131</v>
      </c>
      <c r="B132">
        <v>126</v>
      </c>
      <c r="C132">
        <v>18</v>
      </c>
      <c r="D132">
        <v>3</v>
      </c>
    </row>
    <row r="133" spans="1:4" x14ac:dyDescent="0.3">
      <c r="A133">
        <v>132</v>
      </c>
      <c r="B133">
        <v>127</v>
      </c>
      <c r="C133">
        <v>25</v>
      </c>
      <c r="D133">
        <v>1</v>
      </c>
    </row>
    <row r="134" spans="1:4" x14ac:dyDescent="0.3">
      <c r="A134">
        <v>133</v>
      </c>
      <c r="B134">
        <v>128</v>
      </c>
      <c r="C134">
        <v>2</v>
      </c>
      <c r="D134">
        <v>2</v>
      </c>
    </row>
    <row r="135" spans="1:4" x14ac:dyDescent="0.3">
      <c r="A135">
        <v>134</v>
      </c>
      <c r="B135">
        <v>129</v>
      </c>
      <c r="C135">
        <v>9</v>
      </c>
      <c r="D135">
        <v>3</v>
      </c>
    </row>
    <row r="136" spans="1:4" x14ac:dyDescent="0.3">
      <c r="A136">
        <v>135</v>
      </c>
      <c r="B136">
        <v>130</v>
      </c>
      <c r="C136">
        <v>16</v>
      </c>
      <c r="D136">
        <v>1</v>
      </c>
    </row>
    <row r="137" spans="1:4" x14ac:dyDescent="0.3">
      <c r="A137">
        <v>136</v>
      </c>
      <c r="B137">
        <v>131</v>
      </c>
      <c r="C137">
        <v>23</v>
      </c>
      <c r="D137">
        <v>2</v>
      </c>
    </row>
    <row r="138" spans="1:4" x14ac:dyDescent="0.3">
      <c r="A138">
        <v>137</v>
      </c>
      <c r="B138">
        <v>132</v>
      </c>
      <c r="C138">
        <v>30</v>
      </c>
      <c r="D138">
        <v>3</v>
      </c>
    </row>
    <row r="139" spans="1:4" x14ac:dyDescent="0.3">
      <c r="A139">
        <v>138</v>
      </c>
      <c r="B139">
        <v>133</v>
      </c>
      <c r="C139">
        <v>7</v>
      </c>
      <c r="D139">
        <v>1</v>
      </c>
    </row>
    <row r="140" spans="1:4" x14ac:dyDescent="0.3">
      <c r="A140">
        <v>139</v>
      </c>
      <c r="B140">
        <v>134</v>
      </c>
      <c r="C140">
        <v>14</v>
      </c>
      <c r="D140">
        <v>2</v>
      </c>
    </row>
    <row r="141" spans="1:4" x14ac:dyDescent="0.3">
      <c r="A141">
        <v>140</v>
      </c>
      <c r="B141">
        <v>135</v>
      </c>
      <c r="C141">
        <v>21</v>
      </c>
      <c r="D141">
        <v>3</v>
      </c>
    </row>
    <row r="142" spans="1:4" x14ac:dyDescent="0.3">
      <c r="A142">
        <v>141</v>
      </c>
      <c r="B142">
        <v>136</v>
      </c>
      <c r="C142">
        <v>28</v>
      </c>
      <c r="D142">
        <v>1</v>
      </c>
    </row>
    <row r="143" spans="1:4" x14ac:dyDescent="0.3">
      <c r="A143">
        <v>142</v>
      </c>
      <c r="B143">
        <v>137</v>
      </c>
      <c r="C143">
        <v>5</v>
      </c>
      <c r="D143">
        <v>2</v>
      </c>
    </row>
    <row r="144" spans="1:4" x14ac:dyDescent="0.3">
      <c r="A144">
        <v>143</v>
      </c>
      <c r="B144">
        <v>138</v>
      </c>
      <c r="C144">
        <v>12</v>
      </c>
      <c r="D144">
        <v>3</v>
      </c>
    </row>
    <row r="145" spans="1:4" x14ac:dyDescent="0.3">
      <c r="A145">
        <v>144</v>
      </c>
      <c r="B145">
        <v>139</v>
      </c>
      <c r="C145">
        <v>19</v>
      </c>
      <c r="D145">
        <v>1</v>
      </c>
    </row>
    <row r="146" spans="1:4" x14ac:dyDescent="0.3">
      <c r="A146">
        <v>145</v>
      </c>
      <c r="B146">
        <v>140</v>
      </c>
      <c r="C146">
        <v>26</v>
      </c>
      <c r="D146">
        <v>2</v>
      </c>
    </row>
    <row r="147" spans="1:4" x14ac:dyDescent="0.3">
      <c r="A147">
        <v>146</v>
      </c>
      <c r="B147">
        <v>141</v>
      </c>
      <c r="C147">
        <v>3</v>
      </c>
      <c r="D147">
        <v>3</v>
      </c>
    </row>
    <row r="148" spans="1:4" x14ac:dyDescent="0.3">
      <c r="A148">
        <v>147</v>
      </c>
      <c r="B148">
        <v>142</v>
      </c>
      <c r="C148">
        <v>10</v>
      </c>
      <c r="D148">
        <v>1</v>
      </c>
    </row>
    <row r="149" spans="1:4" x14ac:dyDescent="0.3">
      <c r="A149">
        <v>148</v>
      </c>
      <c r="B149">
        <v>143</v>
      </c>
      <c r="C149">
        <v>17</v>
      </c>
      <c r="D149">
        <v>2</v>
      </c>
    </row>
    <row r="150" spans="1:4" x14ac:dyDescent="0.3">
      <c r="A150">
        <v>149</v>
      </c>
      <c r="B150">
        <v>144</v>
      </c>
      <c r="C150">
        <v>24</v>
      </c>
      <c r="D150">
        <v>3</v>
      </c>
    </row>
    <row r="151" spans="1:4" x14ac:dyDescent="0.3">
      <c r="A151">
        <v>150</v>
      </c>
      <c r="B151">
        <v>145</v>
      </c>
      <c r="C151">
        <v>1</v>
      </c>
      <c r="D151">
        <v>1</v>
      </c>
    </row>
    <row r="152" spans="1:4" x14ac:dyDescent="0.3">
      <c r="A152">
        <v>151</v>
      </c>
      <c r="B152">
        <v>146</v>
      </c>
      <c r="C152">
        <v>8</v>
      </c>
      <c r="D152">
        <v>2</v>
      </c>
    </row>
    <row r="153" spans="1:4" x14ac:dyDescent="0.3">
      <c r="A153">
        <v>152</v>
      </c>
      <c r="B153">
        <v>147</v>
      </c>
      <c r="C153">
        <v>15</v>
      </c>
      <c r="D153">
        <v>3</v>
      </c>
    </row>
    <row r="154" spans="1:4" x14ac:dyDescent="0.3">
      <c r="A154">
        <v>153</v>
      </c>
      <c r="B154">
        <v>148</v>
      </c>
      <c r="C154">
        <v>22</v>
      </c>
      <c r="D154">
        <v>1</v>
      </c>
    </row>
    <row r="155" spans="1:4" x14ac:dyDescent="0.3">
      <c r="A155">
        <v>154</v>
      </c>
      <c r="B155">
        <v>149</v>
      </c>
      <c r="C155">
        <v>29</v>
      </c>
      <c r="D155">
        <v>2</v>
      </c>
    </row>
    <row r="156" spans="1:4" x14ac:dyDescent="0.3">
      <c r="A156">
        <v>155</v>
      </c>
      <c r="B156">
        <v>150</v>
      </c>
      <c r="C156">
        <v>6</v>
      </c>
      <c r="D156">
        <v>3</v>
      </c>
    </row>
    <row r="157" spans="1:4" x14ac:dyDescent="0.3">
      <c r="A157">
        <v>156</v>
      </c>
      <c r="B157">
        <v>16</v>
      </c>
      <c r="C157">
        <v>13</v>
      </c>
      <c r="D157">
        <v>1</v>
      </c>
    </row>
    <row r="158" spans="1:4" x14ac:dyDescent="0.3">
      <c r="A158">
        <v>157</v>
      </c>
      <c r="B158">
        <v>17</v>
      </c>
      <c r="C158">
        <v>20</v>
      </c>
      <c r="D158">
        <v>2</v>
      </c>
    </row>
    <row r="159" spans="1:4" x14ac:dyDescent="0.3">
      <c r="A159">
        <v>158</v>
      </c>
      <c r="B159">
        <v>18</v>
      </c>
      <c r="C159">
        <v>27</v>
      </c>
      <c r="D159">
        <v>3</v>
      </c>
    </row>
    <row r="160" spans="1:4" x14ac:dyDescent="0.3">
      <c r="A160">
        <v>159</v>
      </c>
      <c r="B160">
        <v>19</v>
      </c>
      <c r="C160">
        <v>4</v>
      </c>
      <c r="D160">
        <v>1</v>
      </c>
    </row>
    <row r="161" spans="1:4" x14ac:dyDescent="0.3">
      <c r="A161">
        <v>160</v>
      </c>
      <c r="B161">
        <v>20</v>
      </c>
      <c r="C161">
        <v>11</v>
      </c>
      <c r="D161">
        <v>2</v>
      </c>
    </row>
    <row r="162" spans="1:4" x14ac:dyDescent="0.3">
      <c r="A162">
        <v>161</v>
      </c>
      <c r="B162">
        <v>21</v>
      </c>
      <c r="C162">
        <v>18</v>
      </c>
      <c r="D162">
        <v>3</v>
      </c>
    </row>
    <row r="163" spans="1:4" x14ac:dyDescent="0.3">
      <c r="A163">
        <v>162</v>
      </c>
      <c r="B163">
        <v>22</v>
      </c>
      <c r="C163">
        <v>25</v>
      </c>
      <c r="D163">
        <v>1</v>
      </c>
    </row>
    <row r="164" spans="1:4" x14ac:dyDescent="0.3">
      <c r="A164">
        <v>163</v>
      </c>
      <c r="B164">
        <v>23</v>
      </c>
      <c r="C164">
        <v>2</v>
      </c>
      <c r="D164">
        <v>2</v>
      </c>
    </row>
    <row r="165" spans="1:4" x14ac:dyDescent="0.3">
      <c r="A165">
        <v>164</v>
      </c>
      <c r="B165">
        <v>24</v>
      </c>
      <c r="C165">
        <v>9</v>
      </c>
      <c r="D165">
        <v>3</v>
      </c>
    </row>
    <row r="166" spans="1:4" x14ac:dyDescent="0.3">
      <c r="A166">
        <v>165</v>
      </c>
      <c r="B166">
        <v>25</v>
      </c>
      <c r="C166">
        <v>16</v>
      </c>
      <c r="D166">
        <v>1</v>
      </c>
    </row>
    <row r="167" spans="1:4" x14ac:dyDescent="0.3">
      <c r="A167">
        <v>166</v>
      </c>
      <c r="B167">
        <v>26</v>
      </c>
      <c r="C167">
        <v>23</v>
      </c>
      <c r="D167">
        <v>2</v>
      </c>
    </row>
    <row r="168" spans="1:4" x14ac:dyDescent="0.3">
      <c r="A168">
        <v>167</v>
      </c>
      <c r="B168">
        <v>27</v>
      </c>
      <c r="C168">
        <v>30</v>
      </c>
      <c r="D168">
        <v>3</v>
      </c>
    </row>
    <row r="169" spans="1:4" x14ac:dyDescent="0.3">
      <c r="A169">
        <v>168</v>
      </c>
      <c r="B169">
        <v>28</v>
      </c>
      <c r="C169">
        <v>7</v>
      </c>
      <c r="D169">
        <v>1</v>
      </c>
    </row>
    <row r="170" spans="1:4" x14ac:dyDescent="0.3">
      <c r="A170">
        <v>169</v>
      </c>
      <c r="B170">
        <v>29</v>
      </c>
      <c r="C170">
        <v>14</v>
      </c>
      <c r="D170">
        <v>2</v>
      </c>
    </row>
    <row r="171" spans="1:4" x14ac:dyDescent="0.3">
      <c r="A171">
        <v>170</v>
      </c>
      <c r="B171">
        <v>30</v>
      </c>
      <c r="C171">
        <v>21</v>
      </c>
      <c r="D171">
        <v>3</v>
      </c>
    </row>
    <row r="172" spans="1:4" x14ac:dyDescent="0.3">
      <c r="A172">
        <v>171</v>
      </c>
      <c r="B172">
        <v>31</v>
      </c>
      <c r="C172">
        <v>28</v>
      </c>
      <c r="D172">
        <v>1</v>
      </c>
    </row>
    <row r="173" spans="1:4" x14ac:dyDescent="0.3">
      <c r="A173">
        <v>172</v>
      </c>
      <c r="B173">
        <v>32</v>
      </c>
      <c r="C173">
        <v>5</v>
      </c>
      <c r="D173">
        <v>2</v>
      </c>
    </row>
    <row r="174" spans="1:4" x14ac:dyDescent="0.3">
      <c r="A174">
        <v>173</v>
      </c>
      <c r="B174">
        <v>33</v>
      </c>
      <c r="C174">
        <v>12</v>
      </c>
      <c r="D174">
        <v>3</v>
      </c>
    </row>
    <row r="175" spans="1:4" x14ac:dyDescent="0.3">
      <c r="A175">
        <v>174</v>
      </c>
      <c r="B175">
        <v>34</v>
      </c>
      <c r="C175">
        <v>19</v>
      </c>
      <c r="D175">
        <v>1</v>
      </c>
    </row>
    <row r="176" spans="1:4" x14ac:dyDescent="0.3">
      <c r="A176">
        <v>175</v>
      </c>
      <c r="B176">
        <v>35</v>
      </c>
      <c r="C176">
        <v>26</v>
      </c>
      <c r="D176">
        <v>2</v>
      </c>
    </row>
    <row r="177" spans="1:4" x14ac:dyDescent="0.3">
      <c r="A177">
        <v>176</v>
      </c>
      <c r="B177">
        <v>36</v>
      </c>
      <c r="C177">
        <v>3</v>
      </c>
      <c r="D177">
        <v>3</v>
      </c>
    </row>
    <row r="178" spans="1:4" x14ac:dyDescent="0.3">
      <c r="A178">
        <v>177</v>
      </c>
      <c r="B178">
        <v>37</v>
      </c>
      <c r="C178">
        <v>10</v>
      </c>
      <c r="D178">
        <v>1</v>
      </c>
    </row>
    <row r="179" spans="1:4" x14ac:dyDescent="0.3">
      <c r="A179">
        <v>178</v>
      </c>
      <c r="B179">
        <v>38</v>
      </c>
      <c r="C179">
        <v>17</v>
      </c>
      <c r="D179">
        <v>2</v>
      </c>
    </row>
    <row r="180" spans="1:4" x14ac:dyDescent="0.3">
      <c r="A180">
        <v>179</v>
      </c>
      <c r="B180">
        <v>39</v>
      </c>
      <c r="C180">
        <v>24</v>
      </c>
      <c r="D180">
        <v>3</v>
      </c>
    </row>
    <row r="181" spans="1:4" x14ac:dyDescent="0.3">
      <c r="A181">
        <v>180</v>
      </c>
      <c r="B181">
        <v>40</v>
      </c>
      <c r="C181">
        <v>1</v>
      </c>
      <c r="D181">
        <v>1</v>
      </c>
    </row>
    <row r="182" spans="1:4" x14ac:dyDescent="0.3">
      <c r="A182">
        <v>181</v>
      </c>
      <c r="B182">
        <v>41</v>
      </c>
      <c r="C182">
        <v>8</v>
      </c>
      <c r="D182">
        <v>2</v>
      </c>
    </row>
    <row r="183" spans="1:4" x14ac:dyDescent="0.3">
      <c r="A183">
        <v>182</v>
      </c>
      <c r="B183">
        <v>42</v>
      </c>
      <c r="C183">
        <v>15</v>
      </c>
      <c r="D183">
        <v>3</v>
      </c>
    </row>
    <row r="184" spans="1:4" x14ac:dyDescent="0.3">
      <c r="A184">
        <v>183</v>
      </c>
      <c r="B184">
        <v>43</v>
      </c>
      <c r="C184">
        <v>22</v>
      </c>
      <c r="D184">
        <v>1</v>
      </c>
    </row>
    <row r="185" spans="1:4" x14ac:dyDescent="0.3">
      <c r="A185">
        <v>184</v>
      </c>
      <c r="B185">
        <v>44</v>
      </c>
      <c r="C185">
        <v>29</v>
      </c>
      <c r="D185">
        <v>2</v>
      </c>
    </row>
    <row r="186" spans="1:4" x14ac:dyDescent="0.3">
      <c r="A186">
        <v>185</v>
      </c>
      <c r="B186">
        <v>45</v>
      </c>
      <c r="C186">
        <v>6</v>
      </c>
      <c r="D186">
        <v>3</v>
      </c>
    </row>
    <row r="187" spans="1:4" x14ac:dyDescent="0.3">
      <c r="A187">
        <v>186</v>
      </c>
      <c r="B187">
        <v>46</v>
      </c>
      <c r="C187">
        <v>13</v>
      </c>
      <c r="D187">
        <v>1</v>
      </c>
    </row>
    <row r="188" spans="1:4" x14ac:dyDescent="0.3">
      <c r="A188">
        <v>187</v>
      </c>
      <c r="B188">
        <v>47</v>
      </c>
      <c r="C188">
        <v>20</v>
      </c>
      <c r="D188">
        <v>2</v>
      </c>
    </row>
    <row r="189" spans="1:4" x14ac:dyDescent="0.3">
      <c r="A189">
        <v>188</v>
      </c>
      <c r="B189">
        <v>48</v>
      </c>
      <c r="C189">
        <v>27</v>
      </c>
      <c r="D189">
        <v>3</v>
      </c>
    </row>
    <row r="190" spans="1:4" x14ac:dyDescent="0.3">
      <c r="A190">
        <v>189</v>
      </c>
      <c r="B190">
        <v>49</v>
      </c>
      <c r="C190">
        <v>4</v>
      </c>
      <c r="D190">
        <v>1</v>
      </c>
    </row>
    <row r="191" spans="1:4" x14ac:dyDescent="0.3">
      <c r="A191">
        <v>190</v>
      </c>
      <c r="B191">
        <v>50</v>
      </c>
      <c r="C191">
        <v>11</v>
      </c>
      <c r="D191">
        <v>2</v>
      </c>
    </row>
    <row r="192" spans="1:4" x14ac:dyDescent="0.3">
      <c r="A192">
        <v>191</v>
      </c>
      <c r="B192">
        <v>51</v>
      </c>
      <c r="C192">
        <v>18</v>
      </c>
      <c r="D192">
        <v>3</v>
      </c>
    </row>
    <row r="193" spans="1:4" x14ac:dyDescent="0.3">
      <c r="A193">
        <v>192</v>
      </c>
      <c r="B193">
        <v>52</v>
      </c>
      <c r="C193">
        <v>25</v>
      </c>
      <c r="D193">
        <v>1</v>
      </c>
    </row>
    <row r="194" spans="1:4" x14ac:dyDescent="0.3">
      <c r="A194">
        <v>193</v>
      </c>
      <c r="B194">
        <v>53</v>
      </c>
      <c r="C194">
        <v>2</v>
      </c>
      <c r="D194">
        <v>2</v>
      </c>
    </row>
    <row r="195" spans="1:4" x14ac:dyDescent="0.3">
      <c r="A195">
        <v>194</v>
      </c>
      <c r="B195">
        <v>54</v>
      </c>
      <c r="C195">
        <v>9</v>
      </c>
      <c r="D195">
        <v>3</v>
      </c>
    </row>
    <row r="196" spans="1:4" x14ac:dyDescent="0.3">
      <c r="A196">
        <v>195</v>
      </c>
      <c r="B196">
        <v>55</v>
      </c>
      <c r="C196">
        <v>16</v>
      </c>
      <c r="D196">
        <v>1</v>
      </c>
    </row>
    <row r="197" spans="1:4" x14ac:dyDescent="0.3">
      <c r="A197">
        <v>196</v>
      </c>
      <c r="B197">
        <v>56</v>
      </c>
      <c r="C197">
        <v>23</v>
      </c>
      <c r="D197">
        <v>2</v>
      </c>
    </row>
    <row r="198" spans="1:4" x14ac:dyDescent="0.3">
      <c r="A198">
        <v>197</v>
      </c>
      <c r="B198">
        <v>57</v>
      </c>
      <c r="C198">
        <v>30</v>
      </c>
      <c r="D198">
        <v>3</v>
      </c>
    </row>
    <row r="199" spans="1:4" x14ac:dyDescent="0.3">
      <c r="A199">
        <v>198</v>
      </c>
      <c r="B199">
        <v>58</v>
      </c>
      <c r="C199">
        <v>7</v>
      </c>
      <c r="D199">
        <v>1</v>
      </c>
    </row>
    <row r="200" spans="1:4" x14ac:dyDescent="0.3">
      <c r="A200">
        <v>199</v>
      </c>
      <c r="B200">
        <v>59</v>
      </c>
      <c r="C200">
        <v>14</v>
      </c>
      <c r="D200">
        <v>2</v>
      </c>
    </row>
    <row r="201" spans="1:4" x14ac:dyDescent="0.3">
      <c r="A201">
        <v>200</v>
      </c>
      <c r="B201">
        <v>60</v>
      </c>
      <c r="C201">
        <v>21</v>
      </c>
      <c r="D201">
        <v>3</v>
      </c>
    </row>
  </sheetData>
  <conditionalFormatting sqref="A1:A1048576">
    <cfRule type="duplicateValues" dxfId="17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1490-1C2D-4C61-A3A3-36497DAA5923}">
  <dimension ref="A1:E15"/>
  <sheetViews>
    <sheetView tabSelected="1" workbookViewId="0">
      <selection activeCell="F17" sqref="F17"/>
    </sheetView>
  </sheetViews>
  <sheetFormatPr defaultRowHeight="14.4" x14ac:dyDescent="0.3"/>
  <cols>
    <col min="1" max="1" width="6.44140625" bestFit="1" customWidth="1"/>
    <col min="2" max="2" width="12.88671875" bestFit="1" customWidth="1"/>
    <col min="3" max="3" width="17.21875" bestFit="1" customWidth="1"/>
    <col min="4" max="4" width="47.5546875" bestFit="1" customWidth="1"/>
    <col min="5" max="5" width="19.109375" bestFit="1" customWidth="1"/>
    <col min="6" max="6" width="14.88671875" bestFit="1" customWidth="1"/>
  </cols>
  <sheetData>
    <row r="1" spans="1:5" x14ac:dyDescent="0.3">
      <c r="A1" s="4" t="s">
        <v>403</v>
      </c>
      <c r="B1" s="4" t="s">
        <v>404</v>
      </c>
      <c r="C1" s="4" t="s">
        <v>405</v>
      </c>
      <c r="D1" s="4" t="s">
        <v>406</v>
      </c>
      <c r="E1" s="4" t="s">
        <v>407</v>
      </c>
    </row>
    <row r="2" spans="1:5" x14ac:dyDescent="0.3">
      <c r="A2" s="5">
        <v>1</v>
      </c>
      <c r="B2" s="5" t="s">
        <v>408</v>
      </c>
      <c r="C2" s="5" t="s">
        <v>409</v>
      </c>
      <c r="D2" s="5" t="s">
        <v>410</v>
      </c>
      <c r="E2" s="5" t="s">
        <v>411</v>
      </c>
    </row>
    <row r="3" spans="1:5" x14ac:dyDescent="0.3">
      <c r="A3" s="5">
        <v>2</v>
      </c>
      <c r="B3" s="5" t="s">
        <v>412</v>
      </c>
      <c r="C3" s="5" t="s">
        <v>409</v>
      </c>
      <c r="D3" s="5" t="s">
        <v>413</v>
      </c>
      <c r="E3" s="5" t="s">
        <v>411</v>
      </c>
    </row>
    <row r="4" spans="1:5" x14ac:dyDescent="0.3">
      <c r="A4" s="5">
        <v>3</v>
      </c>
      <c r="B4" s="5" t="s">
        <v>414</v>
      </c>
      <c r="C4" s="5" t="s">
        <v>409</v>
      </c>
      <c r="D4" s="5" t="s">
        <v>415</v>
      </c>
      <c r="E4" s="5" t="s">
        <v>411</v>
      </c>
    </row>
    <row r="5" spans="1:5" x14ac:dyDescent="0.3">
      <c r="A5" s="5">
        <v>4</v>
      </c>
      <c r="B5" s="5" t="s">
        <v>416</v>
      </c>
      <c r="C5" s="5" t="s">
        <v>417</v>
      </c>
      <c r="D5" s="5" t="s">
        <v>418</v>
      </c>
      <c r="E5" s="5" t="s">
        <v>411</v>
      </c>
    </row>
    <row r="6" spans="1:5" x14ac:dyDescent="0.3">
      <c r="A6" s="5">
        <v>5</v>
      </c>
      <c r="B6" s="5" t="s">
        <v>419</v>
      </c>
      <c r="C6" s="5" t="s">
        <v>409</v>
      </c>
      <c r="D6" s="5" t="s">
        <v>420</v>
      </c>
      <c r="E6" s="5" t="s">
        <v>411</v>
      </c>
    </row>
    <row r="7" spans="1:5" x14ac:dyDescent="0.3">
      <c r="A7" s="5">
        <v>6</v>
      </c>
      <c r="B7" s="5" t="s">
        <v>421</v>
      </c>
      <c r="C7" s="5" t="s">
        <v>409</v>
      </c>
      <c r="D7" s="5" t="s">
        <v>422</v>
      </c>
      <c r="E7" s="5" t="s">
        <v>411</v>
      </c>
    </row>
    <row r="8" spans="1:5" x14ac:dyDescent="0.3">
      <c r="A8" s="5">
        <v>7</v>
      </c>
      <c r="B8" s="5" t="s">
        <v>423</v>
      </c>
      <c r="C8" s="5" t="s">
        <v>417</v>
      </c>
      <c r="D8" s="5" t="s">
        <v>424</v>
      </c>
      <c r="E8" s="5" t="s">
        <v>411</v>
      </c>
    </row>
    <row r="9" spans="1:5" x14ac:dyDescent="0.3">
      <c r="A9" s="5">
        <v>8</v>
      </c>
      <c r="B9" s="5" t="s">
        <v>425</v>
      </c>
      <c r="C9" s="5" t="s">
        <v>409</v>
      </c>
      <c r="D9" s="5" t="s">
        <v>426</v>
      </c>
      <c r="E9" s="5" t="s">
        <v>411</v>
      </c>
    </row>
    <row r="10" spans="1:5" x14ac:dyDescent="0.3">
      <c r="A10" s="5">
        <v>9</v>
      </c>
      <c r="B10" s="5" t="s">
        <v>427</v>
      </c>
      <c r="C10" s="5" t="s">
        <v>417</v>
      </c>
      <c r="D10" s="5" t="s">
        <v>428</v>
      </c>
      <c r="E10" s="5" t="s">
        <v>411</v>
      </c>
    </row>
    <row r="11" spans="1:5" x14ac:dyDescent="0.3">
      <c r="A11" s="5">
        <v>10</v>
      </c>
      <c r="B11" s="5" t="s">
        <v>429</v>
      </c>
      <c r="C11" s="5" t="s">
        <v>417</v>
      </c>
      <c r="D11" s="5" t="s">
        <v>430</v>
      </c>
      <c r="E11" s="5" t="s">
        <v>411</v>
      </c>
    </row>
    <row r="12" spans="1:5" x14ac:dyDescent="0.3">
      <c r="A12" s="5">
        <v>11</v>
      </c>
      <c r="B12" s="5" t="s">
        <v>431</v>
      </c>
      <c r="C12" s="5" t="s">
        <v>417</v>
      </c>
      <c r="D12" s="5" t="s">
        <v>432</v>
      </c>
      <c r="E12" s="5" t="s">
        <v>411</v>
      </c>
    </row>
    <row r="13" spans="1:5" x14ac:dyDescent="0.3">
      <c r="A13" s="5">
        <v>12</v>
      </c>
      <c r="B13" s="5" t="s">
        <v>433</v>
      </c>
      <c r="C13" s="5" t="s">
        <v>417</v>
      </c>
      <c r="D13" s="5" t="s">
        <v>434</v>
      </c>
      <c r="E13" s="5" t="s">
        <v>441</v>
      </c>
    </row>
    <row r="14" spans="1:5" x14ac:dyDescent="0.3">
      <c r="A14" s="5">
        <v>13</v>
      </c>
      <c r="B14" s="5" t="s">
        <v>435</v>
      </c>
      <c r="C14" s="5" t="s">
        <v>436</v>
      </c>
      <c r="D14" s="5" t="s">
        <v>437</v>
      </c>
      <c r="E14" s="5" t="s">
        <v>438</v>
      </c>
    </row>
    <row r="15" spans="1:5" x14ac:dyDescent="0.3">
      <c r="A15" s="5">
        <v>14</v>
      </c>
      <c r="B15" s="5" t="s">
        <v>439</v>
      </c>
      <c r="C15" s="5" t="s">
        <v>436</v>
      </c>
      <c r="D15" s="5" t="s">
        <v>440</v>
      </c>
      <c r="E15" s="5" t="s">
        <v>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AC8D-55D5-4BEA-B4D2-BB41869C3005}">
  <dimension ref="A1:C31"/>
  <sheetViews>
    <sheetView workbookViewId="0">
      <selection activeCell="F7" sqref="F7:F10"/>
    </sheetView>
  </sheetViews>
  <sheetFormatPr defaultRowHeight="14.4" x14ac:dyDescent="0.3"/>
  <cols>
    <col min="1" max="1" width="11.6640625" bestFit="1" customWidth="1"/>
    <col min="2" max="2" width="16.88671875" bestFit="1" customWidth="1"/>
    <col min="3" max="3" width="14.33203125" bestFit="1" customWidth="1"/>
  </cols>
  <sheetData>
    <row r="1" spans="1:3" x14ac:dyDescent="0.3">
      <c r="A1" t="s">
        <v>344</v>
      </c>
      <c r="B1" t="s">
        <v>345</v>
      </c>
      <c r="C1" t="s">
        <v>346</v>
      </c>
    </row>
    <row r="2" spans="1:3" x14ac:dyDescent="0.3">
      <c r="A2">
        <v>1</v>
      </c>
      <c r="B2" t="s">
        <v>347</v>
      </c>
      <c r="C2">
        <v>300</v>
      </c>
    </row>
    <row r="3" spans="1:3" x14ac:dyDescent="0.3">
      <c r="A3">
        <v>2</v>
      </c>
      <c r="B3" t="s">
        <v>348</v>
      </c>
      <c r="C3">
        <v>500</v>
      </c>
    </row>
    <row r="4" spans="1:3" x14ac:dyDescent="0.3">
      <c r="A4">
        <v>3</v>
      </c>
      <c r="B4" t="s">
        <v>349</v>
      </c>
      <c r="C4">
        <v>600</v>
      </c>
    </row>
    <row r="5" spans="1:3" x14ac:dyDescent="0.3">
      <c r="A5">
        <v>4</v>
      </c>
      <c r="B5" t="s">
        <v>350</v>
      </c>
      <c r="C5">
        <v>200</v>
      </c>
    </row>
    <row r="6" spans="1:3" x14ac:dyDescent="0.3">
      <c r="A6">
        <v>5</v>
      </c>
      <c r="B6" t="s">
        <v>351</v>
      </c>
      <c r="C6">
        <v>1500</v>
      </c>
    </row>
    <row r="7" spans="1:3" x14ac:dyDescent="0.3">
      <c r="A7">
        <v>6</v>
      </c>
      <c r="B7" t="s">
        <v>352</v>
      </c>
      <c r="C7">
        <v>1000</v>
      </c>
    </row>
    <row r="8" spans="1:3" x14ac:dyDescent="0.3">
      <c r="A8">
        <v>7</v>
      </c>
      <c r="B8" t="s">
        <v>353</v>
      </c>
      <c r="C8">
        <v>150</v>
      </c>
    </row>
    <row r="9" spans="1:3" x14ac:dyDescent="0.3">
      <c r="A9">
        <v>8</v>
      </c>
      <c r="B9" t="s">
        <v>354</v>
      </c>
      <c r="C9">
        <v>250</v>
      </c>
    </row>
    <row r="10" spans="1:3" x14ac:dyDescent="0.3">
      <c r="A10">
        <v>9</v>
      </c>
      <c r="B10" t="s">
        <v>355</v>
      </c>
      <c r="C10">
        <v>800</v>
      </c>
    </row>
    <row r="11" spans="1:3" x14ac:dyDescent="0.3">
      <c r="A11">
        <v>10</v>
      </c>
      <c r="B11" t="s">
        <v>356</v>
      </c>
      <c r="C11">
        <v>400</v>
      </c>
    </row>
    <row r="12" spans="1:3" x14ac:dyDescent="0.3">
      <c r="A12">
        <v>11</v>
      </c>
      <c r="B12" t="s">
        <v>357</v>
      </c>
      <c r="C12">
        <v>120</v>
      </c>
    </row>
    <row r="13" spans="1:3" x14ac:dyDescent="0.3">
      <c r="A13">
        <v>12</v>
      </c>
      <c r="B13" t="s">
        <v>358</v>
      </c>
      <c r="C13">
        <v>250</v>
      </c>
    </row>
    <row r="14" spans="1:3" x14ac:dyDescent="0.3">
      <c r="A14">
        <v>13</v>
      </c>
      <c r="B14" t="s">
        <v>359</v>
      </c>
      <c r="C14">
        <v>1800</v>
      </c>
    </row>
    <row r="15" spans="1:3" x14ac:dyDescent="0.3">
      <c r="A15">
        <v>14</v>
      </c>
      <c r="B15" t="s">
        <v>360</v>
      </c>
      <c r="C15">
        <v>100</v>
      </c>
    </row>
    <row r="16" spans="1:3" x14ac:dyDescent="0.3">
      <c r="A16">
        <v>15</v>
      </c>
      <c r="B16" t="s">
        <v>361</v>
      </c>
      <c r="C16">
        <v>700</v>
      </c>
    </row>
    <row r="17" spans="1:3" x14ac:dyDescent="0.3">
      <c r="A17">
        <v>16</v>
      </c>
      <c r="B17" t="s">
        <v>362</v>
      </c>
      <c r="C17">
        <v>300</v>
      </c>
    </row>
    <row r="18" spans="1:3" x14ac:dyDescent="0.3">
      <c r="A18">
        <v>17</v>
      </c>
      <c r="B18" t="s">
        <v>363</v>
      </c>
      <c r="C18">
        <v>2500</v>
      </c>
    </row>
    <row r="19" spans="1:3" x14ac:dyDescent="0.3">
      <c r="A19">
        <v>18</v>
      </c>
      <c r="B19" t="s">
        <v>364</v>
      </c>
      <c r="C19">
        <v>600</v>
      </c>
    </row>
    <row r="20" spans="1:3" x14ac:dyDescent="0.3">
      <c r="A20">
        <v>19</v>
      </c>
      <c r="B20" t="s">
        <v>365</v>
      </c>
      <c r="C20">
        <v>2200</v>
      </c>
    </row>
    <row r="21" spans="1:3" x14ac:dyDescent="0.3">
      <c r="A21">
        <v>20</v>
      </c>
      <c r="B21" t="s">
        <v>366</v>
      </c>
      <c r="C21">
        <v>500</v>
      </c>
    </row>
    <row r="22" spans="1:3" x14ac:dyDescent="0.3">
      <c r="A22">
        <v>21</v>
      </c>
      <c r="B22" t="s">
        <v>367</v>
      </c>
      <c r="C22">
        <v>1000</v>
      </c>
    </row>
    <row r="23" spans="1:3" x14ac:dyDescent="0.3">
      <c r="A23">
        <v>22</v>
      </c>
      <c r="B23" t="s">
        <v>368</v>
      </c>
      <c r="C23">
        <v>1800</v>
      </c>
    </row>
    <row r="24" spans="1:3" x14ac:dyDescent="0.3">
      <c r="A24">
        <v>23</v>
      </c>
      <c r="B24" t="s">
        <v>369</v>
      </c>
      <c r="C24">
        <v>200</v>
      </c>
    </row>
    <row r="25" spans="1:3" x14ac:dyDescent="0.3">
      <c r="A25">
        <v>24</v>
      </c>
      <c r="B25" t="s">
        <v>370</v>
      </c>
      <c r="C25">
        <v>2500</v>
      </c>
    </row>
    <row r="26" spans="1:3" x14ac:dyDescent="0.3">
      <c r="A26">
        <v>25</v>
      </c>
      <c r="B26" t="s">
        <v>371</v>
      </c>
      <c r="C26">
        <v>750</v>
      </c>
    </row>
    <row r="27" spans="1:3" x14ac:dyDescent="0.3">
      <c r="A27">
        <v>26</v>
      </c>
      <c r="B27" t="s">
        <v>372</v>
      </c>
      <c r="C27">
        <v>150</v>
      </c>
    </row>
    <row r="28" spans="1:3" x14ac:dyDescent="0.3">
      <c r="A28">
        <v>27</v>
      </c>
      <c r="B28" t="s">
        <v>373</v>
      </c>
      <c r="C28">
        <v>400</v>
      </c>
    </row>
    <row r="29" spans="1:3" x14ac:dyDescent="0.3">
      <c r="A29">
        <v>28</v>
      </c>
      <c r="B29" t="s">
        <v>374</v>
      </c>
      <c r="C29">
        <v>350</v>
      </c>
    </row>
    <row r="30" spans="1:3" x14ac:dyDescent="0.3">
      <c r="A30">
        <v>29</v>
      </c>
      <c r="B30" t="s">
        <v>375</v>
      </c>
      <c r="C30">
        <v>3000</v>
      </c>
    </row>
    <row r="31" spans="1:3" x14ac:dyDescent="0.3">
      <c r="A31">
        <v>30</v>
      </c>
      <c r="B31" t="s">
        <v>376</v>
      </c>
      <c r="C31">
        <v>800</v>
      </c>
    </row>
  </sheetData>
  <conditionalFormatting sqref="A1:A1048576">
    <cfRule type="duplicateValues" dxfId="16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995B-7809-4A57-AA51-0799BA21A73A}">
  <dimension ref="A1:F151"/>
  <sheetViews>
    <sheetView workbookViewId="0">
      <selection activeCell="H4" sqref="H4"/>
    </sheetView>
  </sheetViews>
  <sheetFormatPr defaultRowHeight="14.4" x14ac:dyDescent="0.3"/>
  <cols>
    <col min="1" max="1" width="13" bestFit="1" customWidth="1"/>
    <col min="2" max="2" width="12.21875" bestFit="1" customWidth="1"/>
    <col min="3" max="3" width="15.109375" bestFit="1" customWidth="1"/>
    <col min="4" max="4" width="9.5546875" bestFit="1" customWidth="1"/>
    <col min="5" max="5" width="17.88671875" bestFit="1" customWidth="1"/>
    <col min="6" max="6" width="16.5546875" bestFit="1" customWidth="1"/>
  </cols>
  <sheetData>
    <row r="1" spans="1:6" x14ac:dyDescent="0.3">
      <c r="A1" t="s">
        <v>333</v>
      </c>
      <c r="B1" t="s">
        <v>326</v>
      </c>
      <c r="C1" t="s">
        <v>334</v>
      </c>
      <c r="D1" t="s">
        <v>335</v>
      </c>
      <c r="E1" t="s">
        <v>336</v>
      </c>
      <c r="F1" t="s">
        <v>337</v>
      </c>
    </row>
    <row r="2" spans="1:6" x14ac:dyDescent="0.3">
      <c r="A2">
        <v>1</v>
      </c>
      <c r="B2">
        <v>1</v>
      </c>
      <c r="C2" s="2">
        <v>46296</v>
      </c>
      <c r="D2">
        <v>3000</v>
      </c>
      <c r="E2" t="s">
        <v>338</v>
      </c>
      <c r="F2" t="s">
        <v>339</v>
      </c>
    </row>
    <row r="3" spans="1:6" x14ac:dyDescent="0.3">
      <c r="A3">
        <v>2</v>
      </c>
      <c r="B3">
        <v>2</v>
      </c>
      <c r="C3" s="2">
        <v>46297</v>
      </c>
      <c r="D3">
        <v>7500</v>
      </c>
      <c r="E3" t="s">
        <v>340</v>
      </c>
      <c r="F3" t="s">
        <v>339</v>
      </c>
    </row>
    <row r="4" spans="1:6" x14ac:dyDescent="0.3">
      <c r="A4">
        <v>3</v>
      </c>
      <c r="B4">
        <v>3</v>
      </c>
      <c r="C4" s="2">
        <v>46305</v>
      </c>
      <c r="D4">
        <v>3000</v>
      </c>
      <c r="E4" t="s">
        <v>341</v>
      </c>
      <c r="F4" t="s">
        <v>339</v>
      </c>
    </row>
    <row r="5" spans="1:6" x14ac:dyDescent="0.3">
      <c r="A5">
        <v>4</v>
      </c>
      <c r="B5">
        <v>4</v>
      </c>
      <c r="C5" s="2">
        <v>46309</v>
      </c>
      <c r="D5">
        <v>12000</v>
      </c>
      <c r="E5" t="s">
        <v>338</v>
      </c>
      <c r="F5" t="s">
        <v>339</v>
      </c>
    </row>
    <row r="6" spans="1:6" x14ac:dyDescent="0.3">
      <c r="A6">
        <v>5</v>
      </c>
      <c r="B6">
        <v>5</v>
      </c>
      <c r="C6" s="2">
        <v>46310</v>
      </c>
      <c r="D6">
        <v>7500</v>
      </c>
      <c r="E6" t="s">
        <v>340</v>
      </c>
      <c r="F6" t="s">
        <v>339</v>
      </c>
    </row>
    <row r="7" spans="1:6" x14ac:dyDescent="0.3">
      <c r="A7">
        <v>6</v>
      </c>
      <c r="B7">
        <v>6</v>
      </c>
      <c r="C7" s="2">
        <v>46311</v>
      </c>
      <c r="D7">
        <v>19500</v>
      </c>
      <c r="E7" t="s">
        <v>338</v>
      </c>
      <c r="F7" t="s">
        <v>339</v>
      </c>
    </row>
    <row r="8" spans="1:6" x14ac:dyDescent="0.3">
      <c r="A8">
        <v>7</v>
      </c>
      <c r="B8">
        <v>7</v>
      </c>
      <c r="C8" s="2">
        <v>46312</v>
      </c>
      <c r="D8">
        <v>0</v>
      </c>
      <c r="E8" t="s">
        <v>341</v>
      </c>
      <c r="F8" t="s">
        <v>342</v>
      </c>
    </row>
    <row r="9" spans="1:6" x14ac:dyDescent="0.3">
      <c r="A9">
        <v>8</v>
      </c>
      <c r="B9">
        <v>8</v>
      </c>
      <c r="C9" s="2">
        <v>46313</v>
      </c>
      <c r="D9">
        <v>8400</v>
      </c>
      <c r="E9" t="s">
        <v>340</v>
      </c>
      <c r="F9" t="s">
        <v>343</v>
      </c>
    </row>
    <row r="10" spans="1:6" x14ac:dyDescent="0.3">
      <c r="A10">
        <v>9</v>
      </c>
      <c r="B10">
        <v>9</v>
      </c>
      <c r="C10" s="2">
        <v>46314</v>
      </c>
      <c r="D10">
        <v>19500</v>
      </c>
      <c r="E10" t="s">
        <v>338</v>
      </c>
      <c r="F10" t="s">
        <v>339</v>
      </c>
    </row>
    <row r="11" spans="1:6" x14ac:dyDescent="0.3">
      <c r="A11">
        <v>10</v>
      </c>
      <c r="B11">
        <v>10</v>
      </c>
      <c r="C11" s="2">
        <v>46315</v>
      </c>
      <c r="D11">
        <v>12600</v>
      </c>
      <c r="E11" t="s">
        <v>341</v>
      </c>
      <c r="F11" t="s">
        <v>343</v>
      </c>
    </row>
    <row r="12" spans="1:6" x14ac:dyDescent="0.3">
      <c r="A12">
        <v>11</v>
      </c>
      <c r="B12">
        <v>11</v>
      </c>
      <c r="C12" s="2">
        <v>46327</v>
      </c>
      <c r="D12">
        <v>3200</v>
      </c>
      <c r="E12" t="s">
        <v>338</v>
      </c>
      <c r="F12" t="s">
        <v>339</v>
      </c>
    </row>
    <row r="13" spans="1:6" x14ac:dyDescent="0.3">
      <c r="A13">
        <v>12</v>
      </c>
      <c r="B13">
        <v>12</v>
      </c>
      <c r="C13" s="2">
        <v>46328</v>
      </c>
      <c r="D13">
        <v>8100</v>
      </c>
      <c r="E13" t="s">
        <v>340</v>
      </c>
      <c r="F13" t="s">
        <v>343</v>
      </c>
    </row>
    <row r="14" spans="1:6" x14ac:dyDescent="0.3">
      <c r="A14">
        <v>13</v>
      </c>
      <c r="B14">
        <v>13</v>
      </c>
      <c r="C14" s="2">
        <v>46330</v>
      </c>
      <c r="D14">
        <v>8600</v>
      </c>
      <c r="E14" t="s">
        <v>341</v>
      </c>
      <c r="F14" t="s">
        <v>339</v>
      </c>
    </row>
    <row r="15" spans="1:6" x14ac:dyDescent="0.3">
      <c r="A15">
        <v>14</v>
      </c>
      <c r="B15">
        <v>14</v>
      </c>
      <c r="C15" s="2">
        <v>46333</v>
      </c>
      <c r="D15">
        <v>20400</v>
      </c>
      <c r="E15" t="s">
        <v>338</v>
      </c>
      <c r="F15" t="s">
        <v>343</v>
      </c>
    </row>
    <row r="16" spans="1:6" x14ac:dyDescent="0.3">
      <c r="A16">
        <v>15</v>
      </c>
      <c r="B16">
        <v>15</v>
      </c>
      <c r="C16" s="2">
        <v>46337</v>
      </c>
      <c r="D16">
        <v>0</v>
      </c>
      <c r="E16" t="s">
        <v>341</v>
      </c>
      <c r="F16" t="s">
        <v>342</v>
      </c>
    </row>
    <row r="17" spans="1:6" x14ac:dyDescent="0.3">
      <c r="A17">
        <v>16</v>
      </c>
      <c r="B17">
        <v>16</v>
      </c>
      <c r="C17" s="2">
        <v>46327</v>
      </c>
      <c r="D17">
        <v>5192</v>
      </c>
      <c r="E17" t="s">
        <v>340</v>
      </c>
      <c r="F17" t="s">
        <v>343</v>
      </c>
    </row>
    <row r="18" spans="1:6" x14ac:dyDescent="0.3">
      <c r="A18">
        <v>17</v>
      </c>
      <c r="B18">
        <v>17</v>
      </c>
      <c r="C18" s="2">
        <v>46328</v>
      </c>
      <c r="D18">
        <v>5329</v>
      </c>
      <c r="E18" t="s">
        <v>341</v>
      </c>
      <c r="F18" t="s">
        <v>339</v>
      </c>
    </row>
    <row r="19" spans="1:6" x14ac:dyDescent="0.3">
      <c r="A19">
        <v>18</v>
      </c>
      <c r="B19">
        <v>18</v>
      </c>
      <c r="C19" s="2">
        <v>46329</v>
      </c>
      <c r="D19">
        <v>5466</v>
      </c>
      <c r="E19" t="s">
        <v>338</v>
      </c>
      <c r="F19" t="s">
        <v>339</v>
      </c>
    </row>
    <row r="20" spans="1:6" x14ac:dyDescent="0.3">
      <c r="A20">
        <v>19</v>
      </c>
      <c r="B20">
        <v>19</v>
      </c>
      <c r="C20" s="2">
        <v>46330</v>
      </c>
      <c r="D20">
        <v>5603</v>
      </c>
      <c r="E20" t="s">
        <v>340</v>
      </c>
      <c r="F20" t="s">
        <v>339</v>
      </c>
    </row>
    <row r="21" spans="1:6" x14ac:dyDescent="0.3">
      <c r="A21">
        <v>20</v>
      </c>
      <c r="B21">
        <v>20</v>
      </c>
      <c r="C21" s="2">
        <v>46331</v>
      </c>
      <c r="D21">
        <v>0</v>
      </c>
      <c r="E21" t="s">
        <v>341</v>
      </c>
      <c r="F21" t="s">
        <v>342</v>
      </c>
    </row>
    <row r="22" spans="1:6" x14ac:dyDescent="0.3">
      <c r="A22">
        <v>21</v>
      </c>
      <c r="B22">
        <v>21</v>
      </c>
      <c r="C22" s="2">
        <v>46332</v>
      </c>
      <c r="D22">
        <v>5877</v>
      </c>
      <c r="E22" t="s">
        <v>338</v>
      </c>
      <c r="F22" t="s">
        <v>339</v>
      </c>
    </row>
    <row r="23" spans="1:6" x14ac:dyDescent="0.3">
      <c r="A23">
        <v>22</v>
      </c>
      <c r="B23">
        <v>22</v>
      </c>
      <c r="C23" s="2">
        <v>46333</v>
      </c>
      <c r="D23">
        <v>6014</v>
      </c>
      <c r="E23" t="s">
        <v>340</v>
      </c>
      <c r="F23" t="s">
        <v>339</v>
      </c>
    </row>
    <row r="24" spans="1:6" x14ac:dyDescent="0.3">
      <c r="A24">
        <v>23</v>
      </c>
      <c r="B24">
        <v>23</v>
      </c>
      <c r="C24" s="2">
        <v>46334</v>
      </c>
      <c r="D24">
        <v>6151</v>
      </c>
      <c r="E24" t="s">
        <v>341</v>
      </c>
      <c r="F24" t="s">
        <v>339</v>
      </c>
    </row>
    <row r="25" spans="1:6" x14ac:dyDescent="0.3">
      <c r="A25">
        <v>24</v>
      </c>
      <c r="B25">
        <v>24</v>
      </c>
      <c r="C25" s="2">
        <v>46335</v>
      </c>
      <c r="D25">
        <v>6288</v>
      </c>
      <c r="E25" t="s">
        <v>338</v>
      </c>
      <c r="F25" t="s">
        <v>343</v>
      </c>
    </row>
    <row r="26" spans="1:6" x14ac:dyDescent="0.3">
      <c r="A26">
        <v>25</v>
      </c>
      <c r="B26">
        <v>25</v>
      </c>
      <c r="C26" s="2">
        <v>46336</v>
      </c>
      <c r="D26">
        <v>6425</v>
      </c>
      <c r="E26" t="s">
        <v>340</v>
      </c>
      <c r="F26" t="s">
        <v>339</v>
      </c>
    </row>
    <row r="27" spans="1:6" x14ac:dyDescent="0.3">
      <c r="A27">
        <v>26</v>
      </c>
      <c r="B27">
        <v>26</v>
      </c>
      <c r="C27" s="2">
        <v>46337</v>
      </c>
      <c r="D27">
        <v>6562</v>
      </c>
      <c r="E27" t="s">
        <v>341</v>
      </c>
      <c r="F27" t="s">
        <v>339</v>
      </c>
    </row>
    <row r="28" spans="1:6" x14ac:dyDescent="0.3">
      <c r="A28">
        <v>27</v>
      </c>
      <c r="B28">
        <v>27</v>
      </c>
      <c r="C28" s="2">
        <v>46338</v>
      </c>
      <c r="D28">
        <v>6699</v>
      </c>
      <c r="E28" t="s">
        <v>338</v>
      </c>
      <c r="F28" t="s">
        <v>339</v>
      </c>
    </row>
    <row r="29" spans="1:6" x14ac:dyDescent="0.3">
      <c r="A29">
        <v>28</v>
      </c>
      <c r="B29">
        <v>28</v>
      </c>
      <c r="C29" s="2">
        <v>46339</v>
      </c>
      <c r="D29">
        <v>6836</v>
      </c>
      <c r="E29" t="s">
        <v>340</v>
      </c>
      <c r="F29" t="s">
        <v>343</v>
      </c>
    </row>
    <row r="30" spans="1:6" x14ac:dyDescent="0.3">
      <c r="A30">
        <v>29</v>
      </c>
      <c r="B30">
        <v>29</v>
      </c>
      <c r="C30" s="2">
        <v>46340</v>
      </c>
      <c r="D30">
        <v>6973</v>
      </c>
      <c r="E30" t="s">
        <v>341</v>
      </c>
      <c r="F30" t="s">
        <v>339</v>
      </c>
    </row>
    <row r="31" spans="1:6" x14ac:dyDescent="0.3">
      <c r="A31">
        <v>30</v>
      </c>
      <c r="B31">
        <v>30</v>
      </c>
      <c r="C31" s="2">
        <v>46341</v>
      </c>
      <c r="D31">
        <v>0</v>
      </c>
      <c r="E31" t="s">
        <v>338</v>
      </c>
      <c r="F31" t="s">
        <v>342</v>
      </c>
    </row>
    <row r="32" spans="1:6" x14ac:dyDescent="0.3">
      <c r="A32">
        <v>31</v>
      </c>
      <c r="B32">
        <v>31</v>
      </c>
      <c r="C32" s="2">
        <v>46342</v>
      </c>
      <c r="D32">
        <v>7247</v>
      </c>
      <c r="E32" t="s">
        <v>340</v>
      </c>
      <c r="F32" t="s">
        <v>339</v>
      </c>
    </row>
    <row r="33" spans="1:6" x14ac:dyDescent="0.3">
      <c r="A33">
        <v>32</v>
      </c>
      <c r="B33">
        <v>32</v>
      </c>
      <c r="C33" s="2">
        <v>46343</v>
      </c>
      <c r="D33">
        <v>7384</v>
      </c>
      <c r="E33" t="s">
        <v>341</v>
      </c>
      <c r="F33" t="s">
        <v>343</v>
      </c>
    </row>
    <row r="34" spans="1:6" x14ac:dyDescent="0.3">
      <c r="A34">
        <v>33</v>
      </c>
      <c r="B34">
        <v>33</v>
      </c>
      <c r="C34" s="2">
        <v>46344</v>
      </c>
      <c r="D34">
        <v>7521</v>
      </c>
      <c r="E34" t="s">
        <v>338</v>
      </c>
      <c r="F34" t="s">
        <v>339</v>
      </c>
    </row>
    <row r="35" spans="1:6" x14ac:dyDescent="0.3">
      <c r="A35">
        <v>34</v>
      </c>
      <c r="B35">
        <v>34</v>
      </c>
      <c r="C35" s="2">
        <v>46345</v>
      </c>
      <c r="D35">
        <v>7658</v>
      </c>
      <c r="E35" t="s">
        <v>340</v>
      </c>
      <c r="F35" t="s">
        <v>339</v>
      </c>
    </row>
    <row r="36" spans="1:6" x14ac:dyDescent="0.3">
      <c r="A36">
        <v>35</v>
      </c>
      <c r="B36">
        <v>35</v>
      </c>
      <c r="C36" s="2">
        <v>46346</v>
      </c>
      <c r="D36">
        <v>7795</v>
      </c>
      <c r="E36" t="s">
        <v>341</v>
      </c>
      <c r="F36" t="s">
        <v>339</v>
      </c>
    </row>
    <row r="37" spans="1:6" x14ac:dyDescent="0.3">
      <c r="A37">
        <v>36</v>
      </c>
      <c r="B37">
        <v>36</v>
      </c>
      <c r="C37" s="2">
        <v>46347</v>
      </c>
      <c r="D37">
        <v>7932</v>
      </c>
      <c r="E37" t="s">
        <v>338</v>
      </c>
      <c r="F37" t="s">
        <v>343</v>
      </c>
    </row>
    <row r="38" spans="1:6" x14ac:dyDescent="0.3">
      <c r="A38">
        <v>37</v>
      </c>
      <c r="B38">
        <v>37</v>
      </c>
      <c r="C38" s="2">
        <v>46348</v>
      </c>
      <c r="D38">
        <v>8069</v>
      </c>
      <c r="E38" t="s">
        <v>340</v>
      </c>
      <c r="F38" t="s">
        <v>339</v>
      </c>
    </row>
    <row r="39" spans="1:6" x14ac:dyDescent="0.3">
      <c r="A39">
        <v>38</v>
      </c>
      <c r="B39">
        <v>38</v>
      </c>
      <c r="C39" s="2">
        <v>46349</v>
      </c>
      <c r="D39">
        <v>8206</v>
      </c>
      <c r="E39" t="s">
        <v>341</v>
      </c>
      <c r="F39" t="s">
        <v>339</v>
      </c>
    </row>
    <row r="40" spans="1:6" x14ac:dyDescent="0.3">
      <c r="A40">
        <v>39</v>
      </c>
      <c r="B40">
        <v>39</v>
      </c>
      <c r="C40" s="2">
        <v>46350</v>
      </c>
      <c r="D40">
        <v>8343</v>
      </c>
      <c r="E40" t="s">
        <v>338</v>
      </c>
      <c r="F40" t="s">
        <v>339</v>
      </c>
    </row>
    <row r="41" spans="1:6" x14ac:dyDescent="0.3">
      <c r="A41">
        <v>40</v>
      </c>
      <c r="B41">
        <v>40</v>
      </c>
      <c r="C41" s="2">
        <v>46351</v>
      </c>
      <c r="D41">
        <v>0</v>
      </c>
      <c r="E41" t="s">
        <v>340</v>
      </c>
      <c r="F41" t="s">
        <v>342</v>
      </c>
    </row>
    <row r="42" spans="1:6" x14ac:dyDescent="0.3">
      <c r="A42">
        <v>41</v>
      </c>
      <c r="B42">
        <v>41</v>
      </c>
      <c r="C42" s="2">
        <v>46352</v>
      </c>
      <c r="D42">
        <v>8617</v>
      </c>
      <c r="E42" t="s">
        <v>341</v>
      </c>
      <c r="F42" t="s">
        <v>339</v>
      </c>
    </row>
    <row r="43" spans="1:6" x14ac:dyDescent="0.3">
      <c r="A43">
        <v>42</v>
      </c>
      <c r="B43">
        <v>42</v>
      </c>
      <c r="C43" s="2">
        <v>46353</v>
      </c>
      <c r="D43">
        <v>8754</v>
      </c>
      <c r="E43" t="s">
        <v>338</v>
      </c>
      <c r="F43" t="s">
        <v>339</v>
      </c>
    </row>
    <row r="44" spans="1:6" x14ac:dyDescent="0.3">
      <c r="A44">
        <v>43</v>
      </c>
      <c r="B44">
        <v>43</v>
      </c>
      <c r="C44" s="2">
        <v>46354</v>
      </c>
      <c r="D44">
        <v>8891</v>
      </c>
      <c r="E44" t="s">
        <v>340</v>
      </c>
      <c r="F44" t="s">
        <v>339</v>
      </c>
    </row>
    <row r="45" spans="1:6" x14ac:dyDescent="0.3">
      <c r="A45">
        <v>44</v>
      </c>
      <c r="B45">
        <v>44</v>
      </c>
      <c r="C45" s="2">
        <v>46355</v>
      </c>
      <c r="D45">
        <v>9028</v>
      </c>
      <c r="E45" t="s">
        <v>341</v>
      </c>
      <c r="F45" t="s">
        <v>343</v>
      </c>
    </row>
    <row r="46" spans="1:6" x14ac:dyDescent="0.3">
      <c r="A46">
        <v>45</v>
      </c>
      <c r="B46">
        <v>45</v>
      </c>
      <c r="C46" s="2">
        <v>46356</v>
      </c>
      <c r="D46">
        <v>9165</v>
      </c>
      <c r="E46" t="s">
        <v>338</v>
      </c>
      <c r="F46" t="s">
        <v>339</v>
      </c>
    </row>
    <row r="47" spans="1:6" x14ac:dyDescent="0.3">
      <c r="A47">
        <v>46</v>
      </c>
      <c r="B47">
        <v>46</v>
      </c>
      <c r="C47" s="2">
        <v>46357</v>
      </c>
      <c r="D47">
        <v>9302</v>
      </c>
      <c r="E47" t="s">
        <v>340</v>
      </c>
      <c r="F47" t="s">
        <v>339</v>
      </c>
    </row>
    <row r="48" spans="1:6" x14ac:dyDescent="0.3">
      <c r="A48">
        <v>47</v>
      </c>
      <c r="B48">
        <v>47</v>
      </c>
      <c r="C48" s="2">
        <v>46358</v>
      </c>
      <c r="D48">
        <v>9439</v>
      </c>
      <c r="E48" t="s">
        <v>341</v>
      </c>
      <c r="F48" t="s">
        <v>339</v>
      </c>
    </row>
    <row r="49" spans="1:6" x14ac:dyDescent="0.3">
      <c r="A49">
        <v>48</v>
      </c>
      <c r="B49">
        <v>48</v>
      </c>
      <c r="C49" s="2">
        <v>46359</v>
      </c>
      <c r="D49">
        <v>9576</v>
      </c>
      <c r="E49" t="s">
        <v>338</v>
      </c>
      <c r="F49" t="s">
        <v>343</v>
      </c>
    </row>
    <row r="50" spans="1:6" x14ac:dyDescent="0.3">
      <c r="A50">
        <v>49</v>
      </c>
      <c r="B50">
        <v>49</v>
      </c>
      <c r="C50" s="2">
        <v>46360</v>
      </c>
      <c r="D50">
        <v>9713</v>
      </c>
      <c r="E50" t="s">
        <v>340</v>
      </c>
      <c r="F50" t="s">
        <v>339</v>
      </c>
    </row>
    <row r="51" spans="1:6" x14ac:dyDescent="0.3">
      <c r="A51">
        <v>50</v>
      </c>
      <c r="B51">
        <v>50</v>
      </c>
      <c r="C51" s="2">
        <v>46361</v>
      </c>
      <c r="D51">
        <v>0</v>
      </c>
      <c r="E51" t="s">
        <v>341</v>
      </c>
      <c r="F51" t="s">
        <v>342</v>
      </c>
    </row>
    <row r="52" spans="1:6" x14ac:dyDescent="0.3">
      <c r="A52">
        <v>51</v>
      </c>
      <c r="B52">
        <v>51</v>
      </c>
      <c r="C52" s="2">
        <v>46362</v>
      </c>
      <c r="D52">
        <v>9987</v>
      </c>
      <c r="E52" t="s">
        <v>338</v>
      </c>
      <c r="F52" t="s">
        <v>339</v>
      </c>
    </row>
    <row r="53" spans="1:6" x14ac:dyDescent="0.3">
      <c r="A53">
        <v>52</v>
      </c>
      <c r="B53">
        <v>52</v>
      </c>
      <c r="C53" s="2">
        <v>46363</v>
      </c>
      <c r="D53">
        <v>10124</v>
      </c>
      <c r="E53" t="s">
        <v>340</v>
      </c>
      <c r="F53" t="s">
        <v>343</v>
      </c>
    </row>
    <row r="54" spans="1:6" x14ac:dyDescent="0.3">
      <c r="A54">
        <v>53</v>
      </c>
      <c r="B54">
        <v>53</v>
      </c>
      <c r="C54" s="2">
        <v>46364</v>
      </c>
      <c r="D54">
        <v>10261</v>
      </c>
      <c r="E54" t="s">
        <v>341</v>
      </c>
      <c r="F54" t="s">
        <v>339</v>
      </c>
    </row>
    <row r="55" spans="1:6" x14ac:dyDescent="0.3">
      <c r="A55">
        <v>54</v>
      </c>
      <c r="B55">
        <v>54</v>
      </c>
      <c r="C55" s="2">
        <v>46365</v>
      </c>
      <c r="D55">
        <v>10398</v>
      </c>
      <c r="E55" t="s">
        <v>338</v>
      </c>
      <c r="F55" t="s">
        <v>339</v>
      </c>
    </row>
    <row r="56" spans="1:6" x14ac:dyDescent="0.3">
      <c r="A56">
        <v>55</v>
      </c>
      <c r="B56">
        <v>55</v>
      </c>
      <c r="C56" s="2">
        <v>46366</v>
      </c>
      <c r="D56">
        <v>10535</v>
      </c>
      <c r="E56" t="s">
        <v>340</v>
      </c>
      <c r="F56" t="s">
        <v>339</v>
      </c>
    </row>
    <row r="57" spans="1:6" x14ac:dyDescent="0.3">
      <c r="A57">
        <v>56</v>
      </c>
      <c r="B57">
        <v>56</v>
      </c>
      <c r="C57" s="2">
        <v>46367</v>
      </c>
      <c r="D57">
        <v>10672</v>
      </c>
      <c r="E57" t="s">
        <v>341</v>
      </c>
      <c r="F57" t="s">
        <v>343</v>
      </c>
    </row>
    <row r="58" spans="1:6" x14ac:dyDescent="0.3">
      <c r="A58">
        <v>57</v>
      </c>
      <c r="B58">
        <v>57</v>
      </c>
      <c r="C58" s="2">
        <v>46368</v>
      </c>
      <c r="D58">
        <v>10809</v>
      </c>
      <c r="E58" t="s">
        <v>338</v>
      </c>
      <c r="F58" t="s">
        <v>339</v>
      </c>
    </row>
    <row r="59" spans="1:6" x14ac:dyDescent="0.3">
      <c r="A59">
        <v>58</v>
      </c>
      <c r="B59">
        <v>58</v>
      </c>
      <c r="C59" s="2">
        <v>46369</v>
      </c>
      <c r="D59">
        <v>10946</v>
      </c>
      <c r="E59" t="s">
        <v>340</v>
      </c>
      <c r="F59" t="s">
        <v>339</v>
      </c>
    </row>
    <row r="60" spans="1:6" x14ac:dyDescent="0.3">
      <c r="A60">
        <v>59</v>
      </c>
      <c r="B60">
        <v>59</v>
      </c>
      <c r="C60" s="2">
        <v>46370</v>
      </c>
      <c r="D60">
        <v>11083</v>
      </c>
      <c r="E60" t="s">
        <v>341</v>
      </c>
      <c r="F60" t="s">
        <v>339</v>
      </c>
    </row>
    <row r="61" spans="1:6" x14ac:dyDescent="0.3">
      <c r="A61">
        <v>60</v>
      </c>
      <c r="B61">
        <v>60</v>
      </c>
      <c r="C61" s="2">
        <v>46371</v>
      </c>
      <c r="D61">
        <v>0</v>
      </c>
      <c r="E61" t="s">
        <v>338</v>
      </c>
      <c r="F61" t="s">
        <v>342</v>
      </c>
    </row>
    <row r="62" spans="1:6" x14ac:dyDescent="0.3">
      <c r="A62">
        <v>61</v>
      </c>
      <c r="B62">
        <v>61</v>
      </c>
      <c r="C62" s="2">
        <v>46372</v>
      </c>
      <c r="D62">
        <v>11357</v>
      </c>
      <c r="E62" t="s">
        <v>340</v>
      </c>
      <c r="F62" t="s">
        <v>339</v>
      </c>
    </row>
    <row r="63" spans="1:6" x14ac:dyDescent="0.3">
      <c r="A63">
        <v>62</v>
      </c>
      <c r="B63">
        <v>62</v>
      </c>
      <c r="C63" s="2">
        <v>46373</v>
      </c>
      <c r="D63">
        <v>11494</v>
      </c>
      <c r="E63" t="s">
        <v>341</v>
      </c>
      <c r="F63" t="s">
        <v>339</v>
      </c>
    </row>
    <row r="64" spans="1:6" x14ac:dyDescent="0.3">
      <c r="A64">
        <v>63</v>
      </c>
      <c r="B64">
        <v>63</v>
      </c>
      <c r="C64" s="2">
        <v>46374</v>
      </c>
      <c r="D64">
        <v>11631</v>
      </c>
      <c r="E64" t="s">
        <v>338</v>
      </c>
      <c r="F64" t="s">
        <v>339</v>
      </c>
    </row>
    <row r="65" spans="1:6" x14ac:dyDescent="0.3">
      <c r="A65">
        <v>64</v>
      </c>
      <c r="B65">
        <v>64</v>
      </c>
      <c r="C65" s="2">
        <v>46375</v>
      </c>
      <c r="D65">
        <v>11768</v>
      </c>
      <c r="E65" t="s">
        <v>340</v>
      </c>
      <c r="F65" t="s">
        <v>343</v>
      </c>
    </row>
    <row r="66" spans="1:6" x14ac:dyDescent="0.3">
      <c r="A66">
        <v>65</v>
      </c>
      <c r="B66">
        <v>65</v>
      </c>
      <c r="C66" s="2">
        <v>46376</v>
      </c>
      <c r="D66">
        <v>11905</v>
      </c>
      <c r="E66" t="s">
        <v>341</v>
      </c>
      <c r="F66" t="s">
        <v>339</v>
      </c>
    </row>
    <row r="67" spans="1:6" x14ac:dyDescent="0.3">
      <c r="A67">
        <v>66</v>
      </c>
      <c r="B67">
        <v>66</v>
      </c>
      <c r="C67" s="2">
        <v>46377</v>
      </c>
      <c r="D67">
        <v>12042</v>
      </c>
      <c r="E67" t="s">
        <v>338</v>
      </c>
      <c r="F67" t="s">
        <v>339</v>
      </c>
    </row>
    <row r="68" spans="1:6" x14ac:dyDescent="0.3">
      <c r="A68">
        <v>67</v>
      </c>
      <c r="B68">
        <v>67</v>
      </c>
      <c r="C68" s="2">
        <v>46378</v>
      </c>
      <c r="D68">
        <v>12179</v>
      </c>
      <c r="E68" t="s">
        <v>340</v>
      </c>
      <c r="F68" t="s">
        <v>339</v>
      </c>
    </row>
    <row r="69" spans="1:6" x14ac:dyDescent="0.3">
      <c r="A69">
        <v>68</v>
      </c>
      <c r="B69">
        <v>68</v>
      </c>
      <c r="C69" s="2">
        <v>46379</v>
      </c>
      <c r="D69">
        <v>12316</v>
      </c>
      <c r="E69" t="s">
        <v>341</v>
      </c>
      <c r="F69" t="s">
        <v>343</v>
      </c>
    </row>
    <row r="70" spans="1:6" x14ac:dyDescent="0.3">
      <c r="A70">
        <v>69</v>
      </c>
      <c r="B70">
        <v>69</v>
      </c>
      <c r="C70" s="2">
        <v>46380</v>
      </c>
      <c r="D70">
        <v>12453</v>
      </c>
      <c r="E70" t="s">
        <v>338</v>
      </c>
      <c r="F70" t="s">
        <v>339</v>
      </c>
    </row>
    <row r="71" spans="1:6" x14ac:dyDescent="0.3">
      <c r="A71">
        <v>70</v>
      </c>
      <c r="B71">
        <v>70</v>
      </c>
      <c r="C71" s="2">
        <v>46381</v>
      </c>
      <c r="D71">
        <v>0</v>
      </c>
      <c r="E71" t="s">
        <v>340</v>
      </c>
      <c r="F71" t="s">
        <v>342</v>
      </c>
    </row>
    <row r="72" spans="1:6" x14ac:dyDescent="0.3">
      <c r="A72">
        <v>71</v>
      </c>
      <c r="B72">
        <v>71</v>
      </c>
      <c r="C72" s="2">
        <v>46382</v>
      </c>
      <c r="D72">
        <v>12727</v>
      </c>
      <c r="E72" t="s">
        <v>341</v>
      </c>
      <c r="F72" t="s">
        <v>339</v>
      </c>
    </row>
    <row r="73" spans="1:6" x14ac:dyDescent="0.3">
      <c r="A73">
        <v>72</v>
      </c>
      <c r="B73">
        <v>72</v>
      </c>
      <c r="C73" s="2">
        <v>46383</v>
      </c>
      <c r="D73">
        <v>12864</v>
      </c>
      <c r="E73" t="s">
        <v>338</v>
      </c>
      <c r="F73" t="s">
        <v>343</v>
      </c>
    </row>
    <row r="74" spans="1:6" x14ac:dyDescent="0.3">
      <c r="A74">
        <v>73</v>
      </c>
      <c r="B74">
        <v>73</v>
      </c>
      <c r="C74" s="2">
        <v>46384</v>
      </c>
      <c r="D74">
        <v>13001</v>
      </c>
      <c r="E74" t="s">
        <v>340</v>
      </c>
      <c r="F74" t="s">
        <v>339</v>
      </c>
    </row>
    <row r="75" spans="1:6" x14ac:dyDescent="0.3">
      <c r="A75">
        <v>74</v>
      </c>
      <c r="B75">
        <v>74</v>
      </c>
      <c r="C75" s="2">
        <v>46385</v>
      </c>
      <c r="D75">
        <v>13138</v>
      </c>
      <c r="E75" t="s">
        <v>341</v>
      </c>
      <c r="F75" t="s">
        <v>339</v>
      </c>
    </row>
    <row r="76" spans="1:6" x14ac:dyDescent="0.3">
      <c r="A76">
        <v>75</v>
      </c>
      <c r="B76">
        <v>75</v>
      </c>
      <c r="C76" s="2">
        <v>46386</v>
      </c>
      <c r="D76">
        <v>13275</v>
      </c>
      <c r="E76" t="s">
        <v>338</v>
      </c>
      <c r="F76" t="s">
        <v>339</v>
      </c>
    </row>
    <row r="77" spans="1:6" x14ac:dyDescent="0.3">
      <c r="A77">
        <v>76</v>
      </c>
      <c r="B77">
        <v>76</v>
      </c>
      <c r="C77" s="2">
        <v>46387</v>
      </c>
      <c r="D77">
        <v>13412</v>
      </c>
      <c r="E77" t="s">
        <v>340</v>
      </c>
      <c r="F77" t="s">
        <v>343</v>
      </c>
    </row>
    <row r="78" spans="1:6" x14ac:dyDescent="0.3">
      <c r="A78">
        <v>77</v>
      </c>
      <c r="B78">
        <v>77</v>
      </c>
      <c r="C78" s="2">
        <v>46388</v>
      </c>
      <c r="D78">
        <v>13549</v>
      </c>
      <c r="E78" t="s">
        <v>341</v>
      </c>
      <c r="F78" t="s">
        <v>339</v>
      </c>
    </row>
    <row r="79" spans="1:6" x14ac:dyDescent="0.3">
      <c r="A79">
        <v>78</v>
      </c>
      <c r="B79">
        <v>78</v>
      </c>
      <c r="C79" s="2">
        <v>46389</v>
      </c>
      <c r="D79">
        <v>13686</v>
      </c>
      <c r="E79" t="s">
        <v>338</v>
      </c>
      <c r="F79" t="s">
        <v>339</v>
      </c>
    </row>
    <row r="80" spans="1:6" x14ac:dyDescent="0.3">
      <c r="A80">
        <v>79</v>
      </c>
      <c r="B80">
        <v>79</v>
      </c>
      <c r="C80" s="2">
        <v>46390</v>
      </c>
      <c r="D80">
        <v>13823</v>
      </c>
      <c r="E80" t="s">
        <v>340</v>
      </c>
      <c r="F80" t="s">
        <v>339</v>
      </c>
    </row>
    <row r="81" spans="1:6" x14ac:dyDescent="0.3">
      <c r="A81">
        <v>80</v>
      </c>
      <c r="B81">
        <v>80</v>
      </c>
      <c r="C81" s="2">
        <v>46391</v>
      </c>
      <c r="D81">
        <v>0</v>
      </c>
      <c r="E81" t="s">
        <v>341</v>
      </c>
      <c r="F81" t="s">
        <v>342</v>
      </c>
    </row>
    <row r="82" spans="1:6" x14ac:dyDescent="0.3">
      <c r="A82">
        <v>81</v>
      </c>
      <c r="B82">
        <v>81</v>
      </c>
      <c r="C82" s="2">
        <v>46392</v>
      </c>
      <c r="D82">
        <v>14097</v>
      </c>
      <c r="E82" t="s">
        <v>338</v>
      </c>
      <c r="F82" t="s">
        <v>339</v>
      </c>
    </row>
    <row r="83" spans="1:6" x14ac:dyDescent="0.3">
      <c r="A83">
        <v>82</v>
      </c>
      <c r="B83">
        <v>82</v>
      </c>
      <c r="C83" s="2">
        <v>46393</v>
      </c>
      <c r="D83">
        <v>14234</v>
      </c>
      <c r="E83" t="s">
        <v>340</v>
      </c>
      <c r="F83" t="s">
        <v>339</v>
      </c>
    </row>
    <row r="84" spans="1:6" x14ac:dyDescent="0.3">
      <c r="A84">
        <v>83</v>
      </c>
      <c r="B84">
        <v>83</v>
      </c>
      <c r="C84" s="2">
        <v>46394</v>
      </c>
      <c r="D84">
        <v>14371</v>
      </c>
      <c r="E84" t="s">
        <v>341</v>
      </c>
      <c r="F84" t="s">
        <v>339</v>
      </c>
    </row>
    <row r="85" spans="1:6" x14ac:dyDescent="0.3">
      <c r="A85">
        <v>84</v>
      </c>
      <c r="B85">
        <v>84</v>
      </c>
      <c r="C85" s="2">
        <v>46395</v>
      </c>
      <c r="D85">
        <v>14508</v>
      </c>
      <c r="E85" t="s">
        <v>338</v>
      </c>
      <c r="F85" t="s">
        <v>343</v>
      </c>
    </row>
    <row r="86" spans="1:6" x14ac:dyDescent="0.3">
      <c r="A86">
        <v>85</v>
      </c>
      <c r="B86">
        <v>85</v>
      </c>
      <c r="C86" s="2">
        <v>46396</v>
      </c>
      <c r="D86">
        <v>14645</v>
      </c>
      <c r="E86" t="s">
        <v>340</v>
      </c>
      <c r="F86" t="s">
        <v>339</v>
      </c>
    </row>
    <row r="87" spans="1:6" x14ac:dyDescent="0.3">
      <c r="A87">
        <v>86</v>
      </c>
      <c r="B87">
        <v>86</v>
      </c>
      <c r="C87" s="2">
        <v>46397</v>
      </c>
      <c r="D87">
        <v>14782</v>
      </c>
      <c r="E87" t="s">
        <v>341</v>
      </c>
      <c r="F87" t="s">
        <v>339</v>
      </c>
    </row>
    <row r="88" spans="1:6" x14ac:dyDescent="0.3">
      <c r="A88">
        <v>87</v>
      </c>
      <c r="B88">
        <v>87</v>
      </c>
      <c r="C88" s="2">
        <v>46398</v>
      </c>
      <c r="D88">
        <v>14919</v>
      </c>
      <c r="E88" t="s">
        <v>338</v>
      </c>
      <c r="F88" t="s">
        <v>339</v>
      </c>
    </row>
    <row r="89" spans="1:6" x14ac:dyDescent="0.3">
      <c r="A89">
        <v>88</v>
      </c>
      <c r="B89">
        <v>88</v>
      </c>
      <c r="C89" s="2">
        <v>46399</v>
      </c>
      <c r="D89">
        <v>15056</v>
      </c>
      <c r="E89" t="s">
        <v>340</v>
      </c>
      <c r="F89" t="s">
        <v>343</v>
      </c>
    </row>
    <row r="90" spans="1:6" x14ac:dyDescent="0.3">
      <c r="A90">
        <v>89</v>
      </c>
      <c r="B90">
        <v>89</v>
      </c>
      <c r="C90" s="2">
        <v>46400</v>
      </c>
      <c r="D90">
        <v>15193</v>
      </c>
      <c r="E90" t="s">
        <v>341</v>
      </c>
      <c r="F90" t="s">
        <v>339</v>
      </c>
    </row>
    <row r="91" spans="1:6" x14ac:dyDescent="0.3">
      <c r="A91">
        <v>90</v>
      </c>
      <c r="B91">
        <v>90</v>
      </c>
      <c r="C91" s="2">
        <v>46401</v>
      </c>
      <c r="D91">
        <v>0</v>
      </c>
      <c r="E91" t="s">
        <v>338</v>
      </c>
      <c r="F91" t="s">
        <v>342</v>
      </c>
    </row>
    <row r="92" spans="1:6" x14ac:dyDescent="0.3">
      <c r="A92">
        <v>91</v>
      </c>
      <c r="B92">
        <v>91</v>
      </c>
      <c r="C92" s="2">
        <v>46402</v>
      </c>
      <c r="D92">
        <v>15467</v>
      </c>
      <c r="E92" t="s">
        <v>340</v>
      </c>
      <c r="F92" t="s">
        <v>339</v>
      </c>
    </row>
    <row r="93" spans="1:6" x14ac:dyDescent="0.3">
      <c r="A93">
        <v>92</v>
      </c>
      <c r="B93">
        <v>92</v>
      </c>
      <c r="C93" s="2">
        <v>46403</v>
      </c>
      <c r="D93">
        <v>15604</v>
      </c>
      <c r="E93" t="s">
        <v>341</v>
      </c>
      <c r="F93" t="s">
        <v>343</v>
      </c>
    </row>
    <row r="94" spans="1:6" x14ac:dyDescent="0.3">
      <c r="A94">
        <v>93</v>
      </c>
      <c r="B94">
        <v>93</v>
      </c>
      <c r="C94" s="2">
        <v>46404</v>
      </c>
      <c r="D94">
        <v>15741</v>
      </c>
      <c r="E94" t="s">
        <v>338</v>
      </c>
      <c r="F94" t="s">
        <v>339</v>
      </c>
    </row>
    <row r="95" spans="1:6" x14ac:dyDescent="0.3">
      <c r="A95">
        <v>94</v>
      </c>
      <c r="B95">
        <v>94</v>
      </c>
      <c r="C95" s="2">
        <v>46405</v>
      </c>
      <c r="D95">
        <v>15878</v>
      </c>
      <c r="E95" t="s">
        <v>340</v>
      </c>
      <c r="F95" t="s">
        <v>339</v>
      </c>
    </row>
    <row r="96" spans="1:6" x14ac:dyDescent="0.3">
      <c r="A96">
        <v>95</v>
      </c>
      <c r="B96">
        <v>95</v>
      </c>
      <c r="C96" s="2">
        <v>46406</v>
      </c>
      <c r="D96">
        <v>16015</v>
      </c>
      <c r="E96" t="s">
        <v>341</v>
      </c>
      <c r="F96" t="s">
        <v>339</v>
      </c>
    </row>
    <row r="97" spans="1:6" x14ac:dyDescent="0.3">
      <c r="A97">
        <v>96</v>
      </c>
      <c r="B97">
        <v>96</v>
      </c>
      <c r="C97" s="2">
        <v>46407</v>
      </c>
      <c r="D97">
        <v>16152</v>
      </c>
      <c r="E97" t="s">
        <v>338</v>
      </c>
      <c r="F97" t="s">
        <v>343</v>
      </c>
    </row>
    <row r="98" spans="1:6" x14ac:dyDescent="0.3">
      <c r="A98">
        <v>97</v>
      </c>
      <c r="B98">
        <v>97</v>
      </c>
      <c r="C98" s="2">
        <v>46408</v>
      </c>
      <c r="D98">
        <v>16289</v>
      </c>
      <c r="E98" t="s">
        <v>340</v>
      </c>
      <c r="F98" t="s">
        <v>339</v>
      </c>
    </row>
    <row r="99" spans="1:6" x14ac:dyDescent="0.3">
      <c r="A99">
        <v>98</v>
      </c>
      <c r="B99">
        <v>98</v>
      </c>
      <c r="C99" s="2">
        <v>46409</v>
      </c>
      <c r="D99">
        <v>16426</v>
      </c>
      <c r="E99" t="s">
        <v>341</v>
      </c>
      <c r="F99" t="s">
        <v>339</v>
      </c>
    </row>
    <row r="100" spans="1:6" x14ac:dyDescent="0.3">
      <c r="A100">
        <v>99</v>
      </c>
      <c r="B100">
        <v>99</v>
      </c>
      <c r="C100" s="2">
        <v>46410</v>
      </c>
      <c r="D100">
        <v>16563</v>
      </c>
      <c r="E100" t="s">
        <v>338</v>
      </c>
      <c r="F100" t="s">
        <v>339</v>
      </c>
    </row>
    <row r="101" spans="1:6" x14ac:dyDescent="0.3">
      <c r="A101">
        <v>100</v>
      </c>
      <c r="B101">
        <v>100</v>
      </c>
      <c r="C101" s="2">
        <v>46411</v>
      </c>
      <c r="D101">
        <v>0</v>
      </c>
      <c r="E101" t="s">
        <v>340</v>
      </c>
      <c r="F101" t="s">
        <v>342</v>
      </c>
    </row>
    <row r="102" spans="1:6" x14ac:dyDescent="0.3">
      <c r="A102">
        <v>101</v>
      </c>
      <c r="B102">
        <v>101</v>
      </c>
      <c r="C102" s="2">
        <v>46412</v>
      </c>
      <c r="D102">
        <v>16837</v>
      </c>
      <c r="E102" t="s">
        <v>341</v>
      </c>
      <c r="F102" t="s">
        <v>339</v>
      </c>
    </row>
    <row r="103" spans="1:6" x14ac:dyDescent="0.3">
      <c r="A103">
        <v>102</v>
      </c>
      <c r="B103">
        <v>102</v>
      </c>
      <c r="C103" s="2">
        <v>46413</v>
      </c>
      <c r="D103">
        <v>16974</v>
      </c>
      <c r="E103" t="s">
        <v>338</v>
      </c>
      <c r="F103" t="s">
        <v>339</v>
      </c>
    </row>
    <row r="104" spans="1:6" x14ac:dyDescent="0.3">
      <c r="A104">
        <v>103</v>
      </c>
      <c r="B104">
        <v>103</v>
      </c>
      <c r="C104" s="2">
        <v>46414</v>
      </c>
      <c r="D104">
        <v>17111</v>
      </c>
      <c r="E104" t="s">
        <v>340</v>
      </c>
      <c r="F104" t="s">
        <v>339</v>
      </c>
    </row>
    <row r="105" spans="1:6" x14ac:dyDescent="0.3">
      <c r="A105">
        <v>104</v>
      </c>
      <c r="B105">
        <v>104</v>
      </c>
      <c r="C105" s="2">
        <v>46415</v>
      </c>
      <c r="D105">
        <v>17248</v>
      </c>
      <c r="E105" t="s">
        <v>341</v>
      </c>
      <c r="F105" t="s">
        <v>343</v>
      </c>
    </row>
    <row r="106" spans="1:6" x14ac:dyDescent="0.3">
      <c r="A106">
        <v>105</v>
      </c>
      <c r="B106">
        <v>105</v>
      </c>
      <c r="C106" s="2">
        <v>46416</v>
      </c>
      <c r="D106">
        <v>17385</v>
      </c>
      <c r="E106" t="s">
        <v>338</v>
      </c>
      <c r="F106" t="s">
        <v>339</v>
      </c>
    </row>
    <row r="107" spans="1:6" x14ac:dyDescent="0.3">
      <c r="A107">
        <v>106</v>
      </c>
      <c r="B107">
        <v>106</v>
      </c>
      <c r="C107" s="2">
        <v>46417</v>
      </c>
      <c r="D107">
        <v>17522</v>
      </c>
      <c r="E107" t="s">
        <v>340</v>
      </c>
      <c r="F107" t="s">
        <v>339</v>
      </c>
    </row>
    <row r="108" spans="1:6" x14ac:dyDescent="0.3">
      <c r="A108">
        <v>107</v>
      </c>
      <c r="B108">
        <v>107</v>
      </c>
      <c r="C108" s="2">
        <v>46418</v>
      </c>
      <c r="D108">
        <v>17659</v>
      </c>
      <c r="E108" t="s">
        <v>341</v>
      </c>
      <c r="F108" t="s">
        <v>339</v>
      </c>
    </row>
    <row r="109" spans="1:6" x14ac:dyDescent="0.3">
      <c r="A109">
        <v>108</v>
      </c>
      <c r="B109">
        <v>108</v>
      </c>
      <c r="C109" s="2">
        <v>46419</v>
      </c>
      <c r="D109">
        <v>17796</v>
      </c>
      <c r="E109" t="s">
        <v>338</v>
      </c>
      <c r="F109" t="s">
        <v>343</v>
      </c>
    </row>
    <row r="110" spans="1:6" x14ac:dyDescent="0.3">
      <c r="A110">
        <v>109</v>
      </c>
      <c r="B110">
        <v>109</v>
      </c>
      <c r="C110" s="2">
        <v>46420</v>
      </c>
      <c r="D110">
        <v>17933</v>
      </c>
      <c r="E110" t="s">
        <v>340</v>
      </c>
      <c r="F110" t="s">
        <v>339</v>
      </c>
    </row>
    <row r="111" spans="1:6" x14ac:dyDescent="0.3">
      <c r="A111">
        <v>110</v>
      </c>
      <c r="B111">
        <v>110</v>
      </c>
      <c r="C111" s="2">
        <v>46421</v>
      </c>
      <c r="D111">
        <v>0</v>
      </c>
      <c r="E111" t="s">
        <v>341</v>
      </c>
      <c r="F111" t="s">
        <v>342</v>
      </c>
    </row>
    <row r="112" spans="1:6" x14ac:dyDescent="0.3">
      <c r="A112">
        <v>111</v>
      </c>
      <c r="B112">
        <v>111</v>
      </c>
      <c r="C112" s="2">
        <v>46422</v>
      </c>
      <c r="D112">
        <v>18207</v>
      </c>
      <c r="E112" t="s">
        <v>338</v>
      </c>
      <c r="F112" t="s">
        <v>339</v>
      </c>
    </row>
    <row r="113" spans="1:6" x14ac:dyDescent="0.3">
      <c r="A113">
        <v>112</v>
      </c>
      <c r="B113">
        <v>112</v>
      </c>
      <c r="C113" s="2">
        <v>46423</v>
      </c>
      <c r="D113">
        <v>18344</v>
      </c>
      <c r="E113" t="s">
        <v>340</v>
      </c>
      <c r="F113" t="s">
        <v>343</v>
      </c>
    </row>
    <row r="114" spans="1:6" x14ac:dyDescent="0.3">
      <c r="A114">
        <v>113</v>
      </c>
      <c r="B114">
        <v>113</v>
      </c>
      <c r="C114" s="2">
        <v>46424</v>
      </c>
      <c r="D114">
        <v>18481</v>
      </c>
      <c r="E114" t="s">
        <v>341</v>
      </c>
      <c r="F114" t="s">
        <v>339</v>
      </c>
    </row>
    <row r="115" spans="1:6" x14ac:dyDescent="0.3">
      <c r="A115">
        <v>114</v>
      </c>
      <c r="B115">
        <v>114</v>
      </c>
      <c r="C115" s="2">
        <v>46425</v>
      </c>
      <c r="D115">
        <v>18618</v>
      </c>
      <c r="E115" t="s">
        <v>338</v>
      </c>
      <c r="F115" t="s">
        <v>339</v>
      </c>
    </row>
    <row r="116" spans="1:6" x14ac:dyDescent="0.3">
      <c r="A116">
        <v>115</v>
      </c>
      <c r="B116">
        <v>115</v>
      </c>
      <c r="C116" s="2">
        <v>46426</v>
      </c>
      <c r="D116">
        <v>18755</v>
      </c>
      <c r="E116" t="s">
        <v>340</v>
      </c>
      <c r="F116" t="s">
        <v>339</v>
      </c>
    </row>
    <row r="117" spans="1:6" x14ac:dyDescent="0.3">
      <c r="A117">
        <v>116</v>
      </c>
      <c r="B117">
        <v>116</v>
      </c>
      <c r="C117" s="2">
        <v>46427</v>
      </c>
      <c r="D117">
        <v>18892</v>
      </c>
      <c r="E117" t="s">
        <v>341</v>
      </c>
      <c r="F117" t="s">
        <v>343</v>
      </c>
    </row>
    <row r="118" spans="1:6" x14ac:dyDescent="0.3">
      <c r="A118">
        <v>117</v>
      </c>
      <c r="B118">
        <v>117</v>
      </c>
      <c r="C118" s="2">
        <v>46428</v>
      </c>
      <c r="D118">
        <v>19029</v>
      </c>
      <c r="E118" t="s">
        <v>338</v>
      </c>
      <c r="F118" t="s">
        <v>339</v>
      </c>
    </row>
    <row r="119" spans="1:6" x14ac:dyDescent="0.3">
      <c r="A119">
        <v>118</v>
      </c>
      <c r="B119">
        <v>118</v>
      </c>
      <c r="C119" s="2">
        <v>46429</v>
      </c>
      <c r="D119">
        <v>19166</v>
      </c>
      <c r="E119" t="s">
        <v>340</v>
      </c>
      <c r="F119" t="s">
        <v>339</v>
      </c>
    </row>
    <row r="120" spans="1:6" x14ac:dyDescent="0.3">
      <c r="A120">
        <v>119</v>
      </c>
      <c r="B120">
        <v>119</v>
      </c>
      <c r="C120" s="2">
        <v>46430</v>
      </c>
      <c r="D120">
        <v>19303</v>
      </c>
      <c r="E120" t="s">
        <v>341</v>
      </c>
      <c r="F120" t="s">
        <v>339</v>
      </c>
    </row>
    <row r="121" spans="1:6" x14ac:dyDescent="0.3">
      <c r="A121">
        <v>120</v>
      </c>
      <c r="B121">
        <v>120</v>
      </c>
      <c r="C121" s="2">
        <v>46431</v>
      </c>
      <c r="D121">
        <v>0</v>
      </c>
      <c r="E121" t="s">
        <v>338</v>
      </c>
      <c r="F121" t="s">
        <v>342</v>
      </c>
    </row>
    <row r="122" spans="1:6" x14ac:dyDescent="0.3">
      <c r="A122">
        <v>121</v>
      </c>
      <c r="B122">
        <v>121</v>
      </c>
      <c r="C122" s="2">
        <v>46432</v>
      </c>
      <c r="D122">
        <v>19577</v>
      </c>
      <c r="E122" t="s">
        <v>340</v>
      </c>
      <c r="F122" t="s">
        <v>339</v>
      </c>
    </row>
    <row r="123" spans="1:6" x14ac:dyDescent="0.3">
      <c r="A123">
        <v>122</v>
      </c>
      <c r="B123">
        <v>122</v>
      </c>
      <c r="C123" s="2">
        <v>46433</v>
      </c>
      <c r="D123">
        <v>19714</v>
      </c>
      <c r="E123" t="s">
        <v>341</v>
      </c>
      <c r="F123" t="s">
        <v>339</v>
      </c>
    </row>
    <row r="124" spans="1:6" x14ac:dyDescent="0.3">
      <c r="A124">
        <v>123</v>
      </c>
      <c r="B124">
        <v>123</v>
      </c>
      <c r="C124" s="2">
        <v>46434</v>
      </c>
      <c r="D124">
        <v>19851</v>
      </c>
      <c r="E124" t="s">
        <v>338</v>
      </c>
      <c r="F124" t="s">
        <v>339</v>
      </c>
    </row>
    <row r="125" spans="1:6" x14ac:dyDescent="0.3">
      <c r="A125">
        <v>124</v>
      </c>
      <c r="B125">
        <v>124</v>
      </c>
      <c r="C125" s="2">
        <v>46435</v>
      </c>
      <c r="D125">
        <v>19988</v>
      </c>
      <c r="E125" t="s">
        <v>340</v>
      </c>
      <c r="F125" t="s">
        <v>343</v>
      </c>
    </row>
    <row r="126" spans="1:6" x14ac:dyDescent="0.3">
      <c r="A126">
        <v>125</v>
      </c>
      <c r="B126">
        <v>125</v>
      </c>
      <c r="C126" s="2">
        <v>46436</v>
      </c>
      <c r="D126">
        <v>20125</v>
      </c>
      <c r="E126" t="s">
        <v>341</v>
      </c>
      <c r="F126" t="s">
        <v>339</v>
      </c>
    </row>
    <row r="127" spans="1:6" x14ac:dyDescent="0.3">
      <c r="A127">
        <v>126</v>
      </c>
      <c r="B127">
        <v>126</v>
      </c>
      <c r="C127" s="2">
        <v>46437</v>
      </c>
      <c r="D127">
        <v>20262</v>
      </c>
      <c r="E127" t="s">
        <v>338</v>
      </c>
      <c r="F127" t="s">
        <v>339</v>
      </c>
    </row>
    <row r="128" spans="1:6" x14ac:dyDescent="0.3">
      <c r="A128">
        <v>127</v>
      </c>
      <c r="B128">
        <v>127</v>
      </c>
      <c r="C128" s="2">
        <v>46438</v>
      </c>
      <c r="D128">
        <v>20399</v>
      </c>
      <c r="E128" t="s">
        <v>340</v>
      </c>
      <c r="F128" t="s">
        <v>339</v>
      </c>
    </row>
    <row r="129" spans="1:6" x14ac:dyDescent="0.3">
      <c r="A129">
        <v>128</v>
      </c>
      <c r="B129">
        <v>128</v>
      </c>
      <c r="C129" s="2">
        <v>46439</v>
      </c>
      <c r="D129">
        <v>20536</v>
      </c>
      <c r="E129" t="s">
        <v>341</v>
      </c>
      <c r="F129" t="s">
        <v>343</v>
      </c>
    </row>
    <row r="130" spans="1:6" x14ac:dyDescent="0.3">
      <c r="A130">
        <v>129</v>
      </c>
      <c r="B130">
        <v>129</v>
      </c>
      <c r="C130" s="2">
        <v>46440</v>
      </c>
      <c r="D130">
        <v>20673</v>
      </c>
      <c r="E130" t="s">
        <v>338</v>
      </c>
      <c r="F130" t="s">
        <v>339</v>
      </c>
    </row>
    <row r="131" spans="1:6" x14ac:dyDescent="0.3">
      <c r="A131">
        <v>130</v>
      </c>
      <c r="B131">
        <v>130</v>
      </c>
      <c r="C131" s="2">
        <v>46441</v>
      </c>
      <c r="D131">
        <v>0</v>
      </c>
      <c r="E131" t="s">
        <v>340</v>
      </c>
      <c r="F131" t="s">
        <v>342</v>
      </c>
    </row>
    <row r="132" spans="1:6" x14ac:dyDescent="0.3">
      <c r="A132">
        <v>131</v>
      </c>
      <c r="B132">
        <v>131</v>
      </c>
      <c r="C132" s="2">
        <v>46442</v>
      </c>
      <c r="D132">
        <v>20947</v>
      </c>
      <c r="E132" t="s">
        <v>341</v>
      </c>
      <c r="F132" t="s">
        <v>339</v>
      </c>
    </row>
    <row r="133" spans="1:6" x14ac:dyDescent="0.3">
      <c r="A133">
        <v>132</v>
      </c>
      <c r="B133">
        <v>132</v>
      </c>
      <c r="C133" s="2">
        <v>46443</v>
      </c>
      <c r="D133">
        <v>21084</v>
      </c>
      <c r="E133" t="s">
        <v>338</v>
      </c>
      <c r="F133" t="s">
        <v>343</v>
      </c>
    </row>
    <row r="134" spans="1:6" x14ac:dyDescent="0.3">
      <c r="A134">
        <v>133</v>
      </c>
      <c r="B134">
        <v>133</v>
      </c>
      <c r="C134" s="2">
        <v>46444</v>
      </c>
      <c r="D134">
        <v>21221</v>
      </c>
      <c r="E134" t="s">
        <v>340</v>
      </c>
      <c r="F134" t="s">
        <v>339</v>
      </c>
    </row>
    <row r="135" spans="1:6" x14ac:dyDescent="0.3">
      <c r="A135">
        <v>134</v>
      </c>
      <c r="B135">
        <v>134</v>
      </c>
      <c r="C135" s="2">
        <v>46445</v>
      </c>
      <c r="D135">
        <v>21358</v>
      </c>
      <c r="E135" t="s">
        <v>341</v>
      </c>
      <c r="F135" t="s">
        <v>339</v>
      </c>
    </row>
    <row r="136" spans="1:6" x14ac:dyDescent="0.3">
      <c r="A136">
        <v>135</v>
      </c>
      <c r="B136">
        <v>135</v>
      </c>
      <c r="C136" s="2">
        <v>46446</v>
      </c>
      <c r="D136">
        <v>21495</v>
      </c>
      <c r="E136" t="s">
        <v>338</v>
      </c>
      <c r="F136" t="s">
        <v>339</v>
      </c>
    </row>
    <row r="137" spans="1:6" x14ac:dyDescent="0.3">
      <c r="A137">
        <v>136</v>
      </c>
      <c r="B137">
        <v>136</v>
      </c>
      <c r="C137" s="2">
        <v>46447</v>
      </c>
      <c r="D137">
        <v>21632</v>
      </c>
      <c r="E137" t="s">
        <v>340</v>
      </c>
      <c r="F137" t="s">
        <v>343</v>
      </c>
    </row>
    <row r="138" spans="1:6" x14ac:dyDescent="0.3">
      <c r="A138">
        <v>137</v>
      </c>
      <c r="B138">
        <v>137</v>
      </c>
      <c r="C138" s="2">
        <v>46448</v>
      </c>
      <c r="D138">
        <v>21769</v>
      </c>
      <c r="E138" t="s">
        <v>341</v>
      </c>
      <c r="F138" t="s">
        <v>339</v>
      </c>
    </row>
    <row r="139" spans="1:6" x14ac:dyDescent="0.3">
      <c r="A139">
        <v>138</v>
      </c>
      <c r="B139">
        <v>138</v>
      </c>
      <c r="C139" s="2">
        <v>46449</v>
      </c>
      <c r="D139">
        <v>21906</v>
      </c>
      <c r="E139" t="s">
        <v>338</v>
      </c>
      <c r="F139" t="s">
        <v>339</v>
      </c>
    </row>
    <row r="140" spans="1:6" x14ac:dyDescent="0.3">
      <c r="A140">
        <v>139</v>
      </c>
      <c r="B140">
        <v>139</v>
      </c>
      <c r="C140" s="2">
        <v>46450</v>
      </c>
      <c r="D140">
        <v>22043</v>
      </c>
      <c r="E140" t="s">
        <v>340</v>
      </c>
      <c r="F140" t="s">
        <v>339</v>
      </c>
    </row>
    <row r="141" spans="1:6" x14ac:dyDescent="0.3">
      <c r="A141">
        <v>140</v>
      </c>
      <c r="B141">
        <v>140</v>
      </c>
      <c r="C141" s="2">
        <v>46451</v>
      </c>
      <c r="D141">
        <v>0</v>
      </c>
      <c r="E141" t="s">
        <v>341</v>
      </c>
      <c r="F141" t="s">
        <v>342</v>
      </c>
    </row>
    <row r="142" spans="1:6" x14ac:dyDescent="0.3">
      <c r="A142">
        <v>141</v>
      </c>
      <c r="B142">
        <v>141</v>
      </c>
      <c r="C142" s="2">
        <v>46452</v>
      </c>
      <c r="D142">
        <v>22317</v>
      </c>
      <c r="E142" t="s">
        <v>338</v>
      </c>
      <c r="F142" t="s">
        <v>339</v>
      </c>
    </row>
    <row r="143" spans="1:6" x14ac:dyDescent="0.3">
      <c r="A143">
        <v>142</v>
      </c>
      <c r="B143">
        <v>142</v>
      </c>
      <c r="C143" s="2">
        <v>46453</v>
      </c>
      <c r="D143">
        <v>22454</v>
      </c>
      <c r="E143" t="s">
        <v>340</v>
      </c>
      <c r="F143" t="s">
        <v>339</v>
      </c>
    </row>
    <row r="144" spans="1:6" x14ac:dyDescent="0.3">
      <c r="A144">
        <v>143</v>
      </c>
      <c r="B144">
        <v>143</v>
      </c>
      <c r="C144" s="2">
        <v>46454</v>
      </c>
      <c r="D144">
        <v>22591</v>
      </c>
      <c r="E144" t="s">
        <v>341</v>
      </c>
      <c r="F144" t="s">
        <v>339</v>
      </c>
    </row>
    <row r="145" spans="1:6" x14ac:dyDescent="0.3">
      <c r="A145">
        <v>144</v>
      </c>
      <c r="B145">
        <v>144</v>
      </c>
      <c r="C145" s="2">
        <v>46455</v>
      </c>
      <c r="D145">
        <v>22728</v>
      </c>
      <c r="E145" t="s">
        <v>338</v>
      </c>
      <c r="F145" t="s">
        <v>343</v>
      </c>
    </row>
    <row r="146" spans="1:6" x14ac:dyDescent="0.3">
      <c r="A146">
        <v>145</v>
      </c>
      <c r="B146">
        <v>145</v>
      </c>
      <c r="C146" s="2">
        <v>46456</v>
      </c>
      <c r="D146">
        <v>22865</v>
      </c>
      <c r="E146" t="s">
        <v>340</v>
      </c>
      <c r="F146" t="s">
        <v>339</v>
      </c>
    </row>
    <row r="147" spans="1:6" x14ac:dyDescent="0.3">
      <c r="A147">
        <v>146</v>
      </c>
      <c r="B147">
        <v>146</v>
      </c>
      <c r="C147" s="2">
        <v>46457</v>
      </c>
      <c r="D147">
        <v>3002</v>
      </c>
      <c r="E147" t="s">
        <v>341</v>
      </c>
      <c r="F147" t="s">
        <v>339</v>
      </c>
    </row>
    <row r="148" spans="1:6" x14ac:dyDescent="0.3">
      <c r="A148">
        <v>147</v>
      </c>
      <c r="B148">
        <v>147</v>
      </c>
      <c r="C148" s="2">
        <v>46458</v>
      </c>
      <c r="D148">
        <v>3139</v>
      </c>
      <c r="E148" t="s">
        <v>338</v>
      </c>
      <c r="F148" t="s">
        <v>339</v>
      </c>
    </row>
    <row r="149" spans="1:6" x14ac:dyDescent="0.3">
      <c r="A149">
        <v>148</v>
      </c>
      <c r="B149">
        <v>148</v>
      </c>
      <c r="C149" s="2">
        <v>46459</v>
      </c>
      <c r="D149">
        <v>3276</v>
      </c>
      <c r="E149" t="s">
        <v>340</v>
      </c>
      <c r="F149" t="s">
        <v>343</v>
      </c>
    </row>
    <row r="150" spans="1:6" x14ac:dyDescent="0.3">
      <c r="A150">
        <v>149</v>
      </c>
      <c r="B150">
        <v>149</v>
      </c>
      <c r="C150" s="2">
        <v>46460</v>
      </c>
      <c r="D150">
        <v>3413</v>
      </c>
      <c r="E150" t="s">
        <v>341</v>
      </c>
      <c r="F150" t="s">
        <v>339</v>
      </c>
    </row>
    <row r="151" spans="1:6" x14ac:dyDescent="0.3">
      <c r="A151">
        <v>150</v>
      </c>
      <c r="B151">
        <v>150</v>
      </c>
      <c r="C151" s="2">
        <v>46461</v>
      </c>
      <c r="D151">
        <v>0</v>
      </c>
      <c r="E151" t="s">
        <v>338</v>
      </c>
      <c r="F151" t="s">
        <v>342</v>
      </c>
    </row>
  </sheetData>
  <conditionalFormatting sqref="A1:A1048576">
    <cfRule type="duplicateValues" dxfId="15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4FBF-679D-40CE-AF4B-DCEB8EC253C9}">
  <dimension ref="A1:J151"/>
  <sheetViews>
    <sheetView topLeftCell="D1" workbookViewId="0">
      <selection activeCell="J3" sqref="J3"/>
    </sheetView>
  </sheetViews>
  <sheetFormatPr defaultRowHeight="14.4" x14ac:dyDescent="0.3"/>
  <cols>
    <col min="1" max="1" width="12.21875" bestFit="1" customWidth="1"/>
    <col min="2" max="2" width="10.109375" bestFit="1" customWidth="1"/>
    <col min="3" max="3" width="10" bestFit="1" customWidth="1"/>
    <col min="4" max="4" width="15.109375" bestFit="1" customWidth="1"/>
    <col min="5" max="5" width="16.33203125" bestFit="1" customWidth="1"/>
    <col min="6" max="6" width="15.77734375" bestFit="1" customWidth="1"/>
    <col min="7" max="7" width="18.6640625" bestFit="1" customWidth="1"/>
    <col min="8" max="8" width="20" bestFit="1" customWidth="1"/>
    <col min="9" max="9" width="19.77734375" bestFit="1" customWidth="1"/>
    <col min="10" max="10" width="17.77734375" customWidth="1"/>
  </cols>
  <sheetData>
    <row r="1" spans="1:10" x14ac:dyDescent="0.3">
      <c r="A1" t="s">
        <v>326</v>
      </c>
      <c r="B1" t="s">
        <v>0</v>
      </c>
      <c r="C1" t="s">
        <v>312</v>
      </c>
      <c r="D1" t="s">
        <v>327</v>
      </c>
      <c r="E1" t="s">
        <v>328</v>
      </c>
      <c r="F1" t="s">
        <v>329</v>
      </c>
      <c r="G1" t="s">
        <v>399</v>
      </c>
      <c r="H1" t="s">
        <v>400</v>
      </c>
      <c r="I1" t="s">
        <v>401</v>
      </c>
      <c r="J1" t="s">
        <v>402</v>
      </c>
    </row>
    <row r="2" spans="1:10" x14ac:dyDescent="0.3">
      <c r="A2">
        <v>1</v>
      </c>
      <c r="B2">
        <v>1</v>
      </c>
      <c r="C2">
        <v>1</v>
      </c>
      <c r="D2" s="2">
        <v>46296</v>
      </c>
      <c r="E2" s="2">
        <v>46298</v>
      </c>
      <c r="F2" t="s">
        <v>330</v>
      </c>
      <c r="G2" t="str">
        <f>_xlfn.XLOOKUP(C2,Rooms_Clean!$A$2:$A$51,Rooms_Clean!$C$2:$C$51,"Not Found")</f>
        <v>Single</v>
      </c>
      <c r="H2" t="str">
        <f>_xlfn.XLOOKUP(B2,Guests_Clean!$A$2:$A$101,Guests_Clean!$B$2:$B$101)</f>
        <v>Rakesh Bhosle</v>
      </c>
      <c r="I2" s="13" t="str">
        <f>VLOOKUP(bookings10[[#This Row],[room_id]],rooms9[[room_id]:[room_type]],3,0)</f>
        <v>Single</v>
      </c>
      <c r="J2" s="13" t="str">
        <f>VLOOKUP(bookings10[[#This Row],[guest_id]],guests8[[guest_id]:[city]],5,0)</f>
        <v>pune</v>
      </c>
    </row>
    <row r="3" spans="1:10" x14ac:dyDescent="0.3">
      <c r="A3">
        <v>2</v>
      </c>
      <c r="B3">
        <v>2</v>
      </c>
      <c r="C3">
        <v>3</v>
      </c>
      <c r="D3" s="2">
        <v>46297</v>
      </c>
      <c r="E3" s="2">
        <v>46300</v>
      </c>
      <c r="F3" t="s">
        <v>330</v>
      </c>
      <c r="G3" t="str">
        <f>_xlfn.XLOOKUP(C3,Rooms_Clean!$A$2:$A$51,Rooms_Clean!$C$2:$C$51,"Not Found")</f>
        <v>Double</v>
      </c>
      <c r="H3" t="str">
        <f>_xlfn.XLOOKUP(B3,Guests_Clean!$A$2:$A$101,Guests_Clean!$B$2:$B$101)</f>
        <v>Priya Sharma</v>
      </c>
      <c r="I3" s="13" t="str">
        <f>VLOOKUP(bookings10[[#This Row],[room_id]],rooms9[[room_id]:[room_type]],3,0)</f>
        <v>Double</v>
      </c>
      <c r="J3" s="13" t="str">
        <f>VLOOKUP(bookings10[[#This Row],[guest_id]],guests8[[guest_id]:[city]],5,0)</f>
        <v>Mumbai</v>
      </c>
    </row>
    <row r="4" spans="1:10" x14ac:dyDescent="0.3">
      <c r="A4">
        <v>3</v>
      </c>
      <c r="B4">
        <v>3</v>
      </c>
      <c r="C4">
        <v>2</v>
      </c>
      <c r="D4" s="2">
        <v>46305</v>
      </c>
      <c r="E4" s="2">
        <v>46308</v>
      </c>
      <c r="F4" t="s">
        <v>330</v>
      </c>
      <c r="G4" t="str">
        <f>_xlfn.XLOOKUP(C4,Rooms_Clean!$A$2:$A$51,Rooms_Clean!$C$2:$C$51,"Not Found")</f>
        <v>Single</v>
      </c>
      <c r="H4" t="str">
        <f>_xlfn.XLOOKUP(B4,Guests_Clean!$A$2:$A$101,Guests_Clean!$B$2:$B$101)</f>
        <v>Amit Patil</v>
      </c>
      <c r="I4" s="13" t="str">
        <f>VLOOKUP(bookings10[[#This Row],[room_id]],rooms9[[room_id]:[room_type]],3,0)</f>
        <v>Single</v>
      </c>
      <c r="J4" s="13" t="str">
        <f>VLOOKUP(bookings10[[#This Row],[guest_id]],guests8[[guest_id]:[city]],5,0)</f>
        <v>Pune</v>
      </c>
    </row>
    <row r="5" spans="1:10" x14ac:dyDescent="0.3">
      <c r="A5">
        <v>4</v>
      </c>
      <c r="B5">
        <v>4</v>
      </c>
      <c r="C5">
        <v>5</v>
      </c>
      <c r="D5" s="2">
        <v>46309</v>
      </c>
      <c r="E5" s="2">
        <v>46312</v>
      </c>
      <c r="F5" t="s">
        <v>331</v>
      </c>
      <c r="G5" t="str">
        <f>_xlfn.XLOOKUP(C5,Rooms_Clean!$A$2:$A$51,Rooms_Clean!$C$2:$C$51,"Not Found")</f>
        <v>Deluxe</v>
      </c>
      <c r="H5" t="str">
        <f>_xlfn.XLOOKUP(B5,Guests_Clean!$A$2:$A$101,Guests_Clean!$B$2:$B$101)</f>
        <v>Sneha Joshi</v>
      </c>
      <c r="I5" s="13" t="str">
        <f>VLOOKUP(bookings10[[#This Row],[room_id]],rooms9[[room_id]:[room_type]],3,0)</f>
        <v>Deluxe</v>
      </c>
      <c r="J5" s="13" t="str">
        <f>VLOOKUP(bookings10[[#This Row],[guest_id]],guests8[[guest_id]:[city]],5,0)</f>
        <v>Nashik</v>
      </c>
    </row>
    <row r="6" spans="1:10" x14ac:dyDescent="0.3">
      <c r="A6">
        <v>5</v>
      </c>
      <c r="B6">
        <v>5</v>
      </c>
      <c r="C6">
        <v>4</v>
      </c>
      <c r="D6" s="2">
        <v>46310</v>
      </c>
      <c r="E6" s="2">
        <v>46313</v>
      </c>
      <c r="F6" t="s">
        <v>331</v>
      </c>
      <c r="G6" t="str">
        <f>_xlfn.XLOOKUP(C6,Rooms_Clean!$A$2:$A$51,Rooms_Clean!$C$2:$C$51,"Not Found")</f>
        <v>Double</v>
      </c>
      <c r="H6" t="str">
        <f>_xlfn.XLOOKUP(B6,Guests_Clean!$A$2:$A$101,Guests_Clean!$B$2:$B$101)</f>
        <v>Rahul Deshmukh</v>
      </c>
      <c r="I6" s="13" t="str">
        <f>VLOOKUP(bookings10[[#This Row],[room_id]],rooms9[[room_id]:[room_type]],3,0)</f>
        <v>Double</v>
      </c>
      <c r="J6" s="13" t="str">
        <f>VLOOKUP(bookings10[[#This Row],[guest_id]],guests8[[guest_id]:[city]],5,0)</f>
        <v>Pune</v>
      </c>
    </row>
    <row r="7" spans="1:10" x14ac:dyDescent="0.3">
      <c r="A7">
        <v>6</v>
      </c>
      <c r="B7">
        <v>6</v>
      </c>
      <c r="C7">
        <v>7</v>
      </c>
      <c r="D7" s="2">
        <v>46311</v>
      </c>
      <c r="E7" s="2">
        <v>46314</v>
      </c>
      <c r="F7" t="s">
        <v>331</v>
      </c>
      <c r="G7" t="str">
        <f>_xlfn.XLOOKUP(C7,Rooms_Clean!$A$2:$A$51,Rooms_Clean!$C$2:$C$51,"Not Found")</f>
        <v>Suite</v>
      </c>
      <c r="H7" t="str">
        <f>_xlfn.XLOOKUP(B7,Guests_Clean!$A$2:$A$101,Guests_Clean!$B$2:$B$101)</f>
        <v>Neha Kulkarni</v>
      </c>
      <c r="I7" s="13" t="str">
        <f>VLOOKUP(bookings10[[#This Row],[room_id]],rooms9[[room_id]:[room_type]],3,0)</f>
        <v>Suite</v>
      </c>
      <c r="J7" s="13" t="str">
        <f>VLOOKUP(bookings10[[#This Row],[guest_id]],guests8[[guest_id]:[city]],5,0)</f>
        <v>Nagpur</v>
      </c>
    </row>
    <row r="8" spans="1:10" x14ac:dyDescent="0.3">
      <c r="A8">
        <v>7</v>
      </c>
      <c r="B8">
        <v>7</v>
      </c>
      <c r="C8">
        <v>6</v>
      </c>
      <c r="D8" s="2">
        <v>46312</v>
      </c>
      <c r="E8" s="2">
        <v>46315</v>
      </c>
      <c r="F8" t="s">
        <v>332</v>
      </c>
      <c r="G8" t="str">
        <f>_xlfn.XLOOKUP(C8,Rooms_Clean!$A$2:$A$51,Rooms_Clean!$C$2:$C$51,"Not Found")</f>
        <v>Deluxe</v>
      </c>
      <c r="H8" t="str">
        <f>_xlfn.XLOOKUP(B8,Guests_Clean!$A$2:$A$101,Guests_Clean!$B$2:$B$101)</f>
        <v>Karan Shah</v>
      </c>
      <c r="I8" s="13" t="str">
        <f>VLOOKUP(bookings10[[#This Row],[room_id]],rooms9[[room_id]:[room_type]],3,0)</f>
        <v>Deluxe</v>
      </c>
      <c r="J8" s="13" t="str">
        <f>VLOOKUP(bookings10[[#This Row],[guest_id]],guests8[[guest_id]:[city]],5,0)</f>
        <v>Mumbai</v>
      </c>
    </row>
    <row r="9" spans="1:10" x14ac:dyDescent="0.3">
      <c r="A9">
        <v>8</v>
      </c>
      <c r="B9">
        <v>8</v>
      </c>
      <c r="C9">
        <v>9</v>
      </c>
      <c r="D9" s="2">
        <v>46313</v>
      </c>
      <c r="E9" s="2">
        <v>46316</v>
      </c>
      <c r="F9" t="s">
        <v>331</v>
      </c>
      <c r="G9" t="str">
        <f>_xlfn.XLOOKUP(C9,Rooms_Clean!$A$2:$A$51,Rooms_Clean!$C$2:$C$51,"Not Found")</f>
        <v>Double</v>
      </c>
      <c r="H9" t="str">
        <f>_xlfn.XLOOKUP(B9,Guests_Clean!$A$2:$A$101,Guests_Clean!$B$2:$B$101)</f>
        <v>Pooja More</v>
      </c>
      <c r="I9" s="13" t="str">
        <f>VLOOKUP(bookings10[[#This Row],[room_id]],rooms9[[room_id]:[room_type]],3,0)</f>
        <v>Double</v>
      </c>
      <c r="J9" s="13" t="str">
        <f>VLOOKUP(bookings10[[#This Row],[guest_id]],guests8[[guest_id]:[city]],5,0)</f>
        <v>Kolhapur</v>
      </c>
    </row>
    <row r="10" spans="1:10" x14ac:dyDescent="0.3">
      <c r="A10">
        <v>9</v>
      </c>
      <c r="B10">
        <v>9</v>
      </c>
      <c r="C10">
        <v>8</v>
      </c>
      <c r="D10" s="2">
        <v>46314</v>
      </c>
      <c r="E10" s="2">
        <v>46317</v>
      </c>
      <c r="F10" t="s">
        <v>331</v>
      </c>
      <c r="G10" t="str">
        <f>_xlfn.XLOOKUP(C10,Rooms_Clean!$A$2:$A$51,Rooms_Clean!$C$2:$C$51,"Not Found")</f>
        <v>Suite</v>
      </c>
      <c r="H10" t="str">
        <f>_xlfn.XLOOKUP(B10,Guests_Clean!$A$2:$A$101,Guests_Clean!$B$2:$B$101)</f>
        <v>Sahil Pawar</v>
      </c>
      <c r="I10" s="13" t="str">
        <f>VLOOKUP(bookings10[[#This Row],[room_id]],rooms9[[room_id]:[room_type]],3,0)</f>
        <v>Suite</v>
      </c>
      <c r="J10" s="13" t="str">
        <f>VLOOKUP(bookings10[[#This Row],[guest_id]],guests8[[guest_id]:[city]],5,0)</f>
        <v>Pune</v>
      </c>
    </row>
    <row r="11" spans="1:10" x14ac:dyDescent="0.3">
      <c r="A11">
        <v>10</v>
      </c>
      <c r="B11">
        <v>10</v>
      </c>
      <c r="C11">
        <v>10</v>
      </c>
      <c r="D11" s="2">
        <v>46315</v>
      </c>
      <c r="E11" s="2">
        <v>46318</v>
      </c>
      <c r="F11" t="s">
        <v>331</v>
      </c>
      <c r="G11" t="str">
        <f>_xlfn.XLOOKUP(C11,Rooms_Clean!$A$2:$A$51,Rooms_Clean!$C$2:$C$51,"Not Found")</f>
        <v>Deluxe</v>
      </c>
      <c r="H11" t="str">
        <f>_xlfn.XLOOKUP(B11,Guests_Clean!$A$2:$A$101,Guests_Clean!$B$2:$B$101)</f>
        <v>Isha Mehta</v>
      </c>
      <c r="I11" s="13" t="str">
        <f>VLOOKUP(bookings10[[#This Row],[room_id]],rooms9[[room_id]:[room_type]],3,0)</f>
        <v>Deluxe</v>
      </c>
      <c r="J11" s="13" t="str">
        <f>VLOOKUP(bookings10[[#This Row],[guest_id]],guests8[[guest_id]:[city]],5,0)</f>
        <v>Nashik</v>
      </c>
    </row>
    <row r="12" spans="1:10" x14ac:dyDescent="0.3">
      <c r="A12">
        <v>11</v>
      </c>
      <c r="B12">
        <v>11</v>
      </c>
      <c r="C12">
        <v>11</v>
      </c>
      <c r="D12" s="2">
        <v>46327</v>
      </c>
      <c r="E12" s="2">
        <v>46329</v>
      </c>
      <c r="F12" t="s">
        <v>331</v>
      </c>
      <c r="G12" t="str">
        <f>_xlfn.XLOOKUP(C12,Rooms_Clean!$A$2:$A$51,Rooms_Clean!$C$2:$C$51,"Not Found")</f>
        <v>Single</v>
      </c>
      <c r="H12" t="str">
        <f>_xlfn.XLOOKUP(B12,Guests_Clean!$A$2:$A$101,Guests_Clean!$B$2:$B$101)</f>
        <v>Aarav Deshmukh</v>
      </c>
      <c r="I12" s="13" t="str">
        <f>VLOOKUP(bookings10[[#This Row],[room_id]],rooms9[[room_id]:[room_type]],3,0)</f>
        <v>Single</v>
      </c>
      <c r="J12" s="13" t="str">
        <f>VLOOKUP(bookings10[[#This Row],[guest_id]],guests8[[guest_id]:[city]],5,0)</f>
        <v>Pune</v>
      </c>
    </row>
    <row r="13" spans="1:10" x14ac:dyDescent="0.3">
      <c r="A13">
        <v>12</v>
      </c>
      <c r="B13">
        <v>12</v>
      </c>
      <c r="C13">
        <v>12</v>
      </c>
      <c r="D13" s="2">
        <v>46328</v>
      </c>
      <c r="E13" s="2">
        <v>46331</v>
      </c>
      <c r="F13" t="s">
        <v>331</v>
      </c>
      <c r="G13" t="str">
        <f>_xlfn.XLOOKUP(C13,Rooms_Clean!$A$2:$A$51,Rooms_Clean!$C$2:$C$51,"Not Found")</f>
        <v>Double</v>
      </c>
      <c r="H13" t="str">
        <f>_xlfn.XLOOKUP(B13,Guests_Clean!$A$2:$A$101,Guests_Clean!$B$2:$B$101)</f>
        <v>Sneha Joshi</v>
      </c>
      <c r="I13" s="13" t="str">
        <f>VLOOKUP(bookings10[[#This Row],[room_id]],rooms9[[room_id]:[room_type]],3,0)</f>
        <v>Double</v>
      </c>
      <c r="J13" s="13" t="str">
        <f>VLOOKUP(bookings10[[#This Row],[guest_id]],guests8[[guest_id]:[city]],5,0)</f>
        <v>Mumbai</v>
      </c>
    </row>
    <row r="14" spans="1:10" x14ac:dyDescent="0.3">
      <c r="A14">
        <v>13</v>
      </c>
      <c r="B14">
        <v>13</v>
      </c>
      <c r="C14">
        <v>13</v>
      </c>
      <c r="D14" s="2">
        <v>46330</v>
      </c>
      <c r="E14" s="2">
        <v>46332</v>
      </c>
      <c r="F14" t="s">
        <v>331</v>
      </c>
      <c r="G14" t="str">
        <f>_xlfn.XLOOKUP(C14,Rooms_Clean!$A$2:$A$51,Rooms_Clean!$C$2:$C$51,"Not Found")</f>
        <v>Deluxe</v>
      </c>
      <c r="H14" t="str">
        <f>_xlfn.XLOOKUP(B14,Guests_Clean!$A$2:$A$101,Guests_Clean!$B$2:$B$101)</f>
        <v>Rohan Patil</v>
      </c>
      <c r="I14" s="13" t="str">
        <f>VLOOKUP(bookings10[[#This Row],[room_id]],rooms9[[room_id]:[room_type]],3,0)</f>
        <v>Deluxe</v>
      </c>
      <c r="J14" s="13" t="str">
        <f>VLOOKUP(bookings10[[#This Row],[guest_id]],guests8[[guest_id]:[city]],5,0)</f>
        <v>Nashik</v>
      </c>
    </row>
    <row r="15" spans="1:10" x14ac:dyDescent="0.3">
      <c r="A15">
        <v>14</v>
      </c>
      <c r="B15">
        <v>14</v>
      </c>
      <c r="C15">
        <v>14</v>
      </c>
      <c r="D15" s="2">
        <v>46333</v>
      </c>
      <c r="E15" s="2">
        <v>46336</v>
      </c>
      <c r="F15" t="s">
        <v>331</v>
      </c>
      <c r="G15" t="str">
        <f>_xlfn.XLOOKUP(C15,Rooms_Clean!$A$2:$A$51,Rooms_Clean!$C$2:$C$51,"Not Found")</f>
        <v>Suite</v>
      </c>
      <c r="H15" t="str">
        <f>_xlfn.XLOOKUP(B15,Guests_Clean!$A$2:$A$101,Guests_Clean!$B$2:$B$101)</f>
        <v>Ananya Shah</v>
      </c>
      <c r="I15" s="13" t="str">
        <f>VLOOKUP(bookings10[[#This Row],[room_id]],rooms9[[room_id]:[room_type]],3,0)</f>
        <v>Suite</v>
      </c>
      <c r="J15" s="13" t="str">
        <f>VLOOKUP(bookings10[[#This Row],[guest_id]],guests8[[guest_id]:[city]],5,0)</f>
        <v>Nagpur</v>
      </c>
    </row>
    <row r="16" spans="1:10" x14ac:dyDescent="0.3">
      <c r="A16">
        <v>15</v>
      </c>
      <c r="B16">
        <v>15</v>
      </c>
      <c r="C16">
        <v>15</v>
      </c>
      <c r="D16" s="2">
        <v>46337</v>
      </c>
      <c r="E16" s="2">
        <v>46339</v>
      </c>
      <c r="F16" t="s">
        <v>332</v>
      </c>
      <c r="G16" t="str">
        <f>_xlfn.XLOOKUP(C16,Rooms_Clean!$A$2:$A$51,Rooms_Clean!$C$2:$C$51,"Not Found")</f>
        <v>Double</v>
      </c>
      <c r="H16" t="str">
        <f>_xlfn.XLOOKUP(B16,Guests_Clean!$A$2:$A$101,Guests_Clean!$B$2:$B$101)</f>
        <v>Vedant Kulkarni</v>
      </c>
      <c r="I16" s="13" t="str">
        <f>VLOOKUP(bookings10[[#This Row],[room_id]],rooms9[[room_id]:[room_type]],3,0)</f>
        <v>Double</v>
      </c>
      <c r="J16" s="13" t="str">
        <f>VLOOKUP(bookings10[[#This Row],[guest_id]],guests8[[guest_id]:[city]],5,0)</f>
        <v>Pune</v>
      </c>
    </row>
    <row r="17" spans="1:10" x14ac:dyDescent="0.3">
      <c r="A17">
        <v>16</v>
      </c>
      <c r="B17">
        <v>16</v>
      </c>
      <c r="C17">
        <v>16</v>
      </c>
      <c r="D17" s="2">
        <v>46327</v>
      </c>
      <c r="E17" s="2">
        <v>46330</v>
      </c>
      <c r="F17" t="s">
        <v>331</v>
      </c>
      <c r="G17" t="str">
        <f>_xlfn.XLOOKUP(C17,Rooms_Clean!$A$2:$A$51,Rooms_Clean!$C$2:$C$51,"Not Found")</f>
        <v>Single</v>
      </c>
      <c r="H17" t="str">
        <f>_xlfn.XLOOKUP(B17,Guests_Clean!$A$2:$A$101,Guests_Clean!$B$2:$B$101)</f>
        <v>Mira Pawar</v>
      </c>
      <c r="I17" s="13" t="str">
        <f>VLOOKUP(bookings10[[#This Row],[room_id]],rooms9[[room_id]:[room_type]],3,0)</f>
        <v>Single</v>
      </c>
      <c r="J17" s="13" t="str">
        <f>VLOOKUP(bookings10[[#This Row],[guest_id]],guests8[[guest_id]:[city]],5,0)</f>
        <v>Kolhapur</v>
      </c>
    </row>
    <row r="18" spans="1:10" x14ac:dyDescent="0.3">
      <c r="A18">
        <v>17</v>
      </c>
      <c r="B18">
        <v>17</v>
      </c>
      <c r="C18">
        <v>17</v>
      </c>
      <c r="D18" s="2">
        <v>46328</v>
      </c>
      <c r="E18" s="2">
        <v>46332</v>
      </c>
      <c r="F18" t="s">
        <v>331</v>
      </c>
      <c r="G18" t="str">
        <f>_xlfn.XLOOKUP(C18,Rooms_Clean!$A$2:$A$51,Rooms_Clean!$C$2:$C$51,"Not Found")</f>
        <v>Single</v>
      </c>
      <c r="H18" t="str">
        <f>_xlfn.XLOOKUP(B18,Guests_Clean!$A$2:$A$101,Guests_Clean!$B$2:$B$101)</f>
        <v>Aditya More</v>
      </c>
      <c r="I18" s="13" t="str">
        <f>VLOOKUP(bookings10[[#This Row],[room_id]],rooms9[[room_id]:[room_type]],3,0)</f>
        <v>Single</v>
      </c>
      <c r="J18" s="13" t="str">
        <f>VLOOKUP(bookings10[[#This Row],[guest_id]],guests8[[guest_id]:[city]],5,0)</f>
        <v>Mumbai</v>
      </c>
    </row>
    <row r="19" spans="1:10" x14ac:dyDescent="0.3">
      <c r="A19">
        <v>18</v>
      </c>
      <c r="B19">
        <v>18</v>
      </c>
      <c r="C19">
        <v>18</v>
      </c>
      <c r="D19" s="2">
        <v>46329</v>
      </c>
      <c r="E19" s="2">
        <v>46331</v>
      </c>
      <c r="F19" t="s">
        <v>331</v>
      </c>
      <c r="G19" t="str">
        <f>_xlfn.XLOOKUP(C19,Rooms_Clean!$A$2:$A$51,Rooms_Clean!$C$2:$C$51,"Not Found")</f>
        <v>Double</v>
      </c>
      <c r="H19" t="str">
        <f>_xlfn.XLOOKUP(B19,Guests_Clean!$A$2:$A$101,Guests_Clean!$B$2:$B$101)</f>
        <v>Ira Desai</v>
      </c>
      <c r="I19" s="13" t="str">
        <f>VLOOKUP(bookings10[[#This Row],[room_id]],rooms9[[room_id]:[room_type]],3,0)</f>
        <v>Double</v>
      </c>
      <c r="J19" s="13" t="str">
        <f>VLOOKUP(bookings10[[#This Row],[guest_id]],guests8[[guest_id]:[city]],5,0)</f>
        <v>Nashik</v>
      </c>
    </row>
    <row r="20" spans="1:10" x14ac:dyDescent="0.3">
      <c r="A20">
        <v>19</v>
      </c>
      <c r="B20">
        <v>19</v>
      </c>
      <c r="C20">
        <v>19</v>
      </c>
      <c r="D20" s="2">
        <v>46330</v>
      </c>
      <c r="E20" s="2">
        <v>46333</v>
      </c>
      <c r="F20" t="s">
        <v>331</v>
      </c>
      <c r="G20" t="str">
        <f>_xlfn.XLOOKUP(C20,Rooms_Clean!$A$2:$A$51,Rooms_Clean!$C$2:$C$51,"Not Found")</f>
        <v>Double</v>
      </c>
      <c r="H20" t="str">
        <f>_xlfn.XLOOKUP(B20,Guests_Clean!$A$2:$A$101,Guests_Clean!$B$2:$B$101)</f>
        <v>Omkar Jadhav</v>
      </c>
      <c r="I20" s="13" t="str">
        <f>VLOOKUP(bookings10[[#This Row],[room_id]],rooms9[[room_id]:[room_type]],3,0)</f>
        <v>Double</v>
      </c>
      <c r="J20" s="13" t="str">
        <f>VLOOKUP(bookings10[[#This Row],[guest_id]],guests8[[guest_id]:[city]],5,0)</f>
        <v>Pune</v>
      </c>
    </row>
    <row r="21" spans="1:10" x14ac:dyDescent="0.3">
      <c r="A21">
        <v>20</v>
      </c>
      <c r="B21">
        <v>20</v>
      </c>
      <c r="C21">
        <v>20</v>
      </c>
      <c r="D21" s="2">
        <v>46331</v>
      </c>
      <c r="E21" s="2">
        <v>46335</v>
      </c>
      <c r="F21" t="s">
        <v>332</v>
      </c>
      <c r="G21" t="str">
        <f>_xlfn.XLOOKUP(C21,Rooms_Clean!$A$2:$A$51,Rooms_Clean!$C$2:$C$51,"Not Found")</f>
        <v>Deluxe</v>
      </c>
      <c r="H21" t="str">
        <f>_xlfn.XLOOKUP(B21,Guests_Clean!$A$2:$A$101,Guests_Clean!$B$2:$B$101)</f>
        <v>Sana Khan</v>
      </c>
      <c r="I21" s="13" t="str">
        <f>VLOOKUP(bookings10[[#This Row],[room_id]],rooms9[[room_id]:[room_type]],3,0)</f>
        <v>Deluxe</v>
      </c>
      <c r="J21" s="13" t="str">
        <f>VLOOKUP(bookings10[[#This Row],[guest_id]],guests8[[guest_id]:[city]],5,0)</f>
        <v>Nagpur</v>
      </c>
    </row>
    <row r="22" spans="1:10" x14ac:dyDescent="0.3">
      <c r="A22">
        <v>21</v>
      </c>
      <c r="B22">
        <v>21</v>
      </c>
      <c r="C22">
        <v>21</v>
      </c>
      <c r="D22" s="2">
        <v>46332</v>
      </c>
      <c r="E22" s="2">
        <v>46334</v>
      </c>
      <c r="F22" t="s">
        <v>330</v>
      </c>
      <c r="G22" t="str">
        <f>_xlfn.XLOOKUP(C22,Rooms_Clean!$A$2:$A$51,Rooms_Clean!$C$2:$C$51,"Not Found")</f>
        <v>Suite</v>
      </c>
      <c r="H22" t="str">
        <f>_xlfn.XLOOKUP(B22,Guests_Clean!$A$2:$A$101,Guests_Clean!$B$2:$B$101)</f>
        <v>Rohan Patil</v>
      </c>
      <c r="I22" s="13" t="str">
        <f>VLOOKUP(bookings10[[#This Row],[room_id]],rooms9[[room_id]:[room_type]],3,0)</f>
        <v>Suite</v>
      </c>
      <c r="J22" s="13" t="str">
        <f>VLOOKUP(bookings10[[#This Row],[guest_id]],guests8[[guest_id]:[city]],5,0)</f>
        <v>Pune</v>
      </c>
    </row>
    <row r="23" spans="1:10" x14ac:dyDescent="0.3">
      <c r="A23">
        <v>22</v>
      </c>
      <c r="B23">
        <v>22</v>
      </c>
      <c r="C23">
        <v>22</v>
      </c>
      <c r="D23" s="2">
        <v>46333</v>
      </c>
      <c r="E23" s="2">
        <v>46336</v>
      </c>
      <c r="F23" t="s">
        <v>331</v>
      </c>
      <c r="G23" t="str">
        <f>_xlfn.XLOOKUP(C23,Rooms_Clean!$A$2:$A$51,Rooms_Clean!$C$2:$C$51,"Not Found")</f>
        <v>Single</v>
      </c>
      <c r="H23" t="str">
        <f>_xlfn.XLOOKUP(B23,Guests_Clean!$A$2:$A$101,Guests_Clean!$B$2:$B$101)</f>
        <v>Sneha Kulkarni</v>
      </c>
      <c r="I23" s="13" t="str">
        <f>VLOOKUP(bookings10[[#This Row],[room_id]],rooms9[[room_id]:[room_type]],3,0)</f>
        <v>Single</v>
      </c>
      <c r="J23" s="13" t="str">
        <f>VLOOKUP(bookings10[[#This Row],[guest_id]],guests8[[guest_id]:[city]],5,0)</f>
        <v>Mumbai</v>
      </c>
    </row>
    <row r="24" spans="1:10" x14ac:dyDescent="0.3">
      <c r="A24">
        <v>23</v>
      </c>
      <c r="B24">
        <v>23</v>
      </c>
      <c r="C24">
        <v>23</v>
      </c>
      <c r="D24" s="2">
        <v>46334</v>
      </c>
      <c r="E24" s="2">
        <v>46338</v>
      </c>
      <c r="F24" t="s">
        <v>331</v>
      </c>
      <c r="G24" t="str">
        <f>_xlfn.XLOOKUP(C24,Rooms_Clean!$A$2:$A$51,Rooms_Clean!$C$2:$C$51,"Not Found")</f>
        <v>Double</v>
      </c>
      <c r="H24" t="str">
        <f>_xlfn.XLOOKUP(B24,Guests_Clean!$A$2:$A$101,Guests_Clean!$B$2:$B$101)</f>
        <v>Amit Sharma</v>
      </c>
      <c r="I24" s="13" t="str">
        <f>VLOOKUP(bookings10[[#This Row],[room_id]],rooms9[[room_id]:[room_type]],3,0)</f>
        <v>Double</v>
      </c>
      <c r="J24" s="13" t="str">
        <f>VLOOKUP(bookings10[[#This Row],[guest_id]],guests8[[guest_id]:[city]],5,0)</f>
        <v>Nashik</v>
      </c>
    </row>
    <row r="25" spans="1:10" x14ac:dyDescent="0.3">
      <c r="A25">
        <v>24</v>
      </c>
      <c r="B25">
        <v>24</v>
      </c>
      <c r="C25">
        <v>24</v>
      </c>
      <c r="D25" s="2">
        <v>46335</v>
      </c>
      <c r="E25" s="2">
        <v>46337</v>
      </c>
      <c r="F25" t="s">
        <v>331</v>
      </c>
      <c r="G25" t="str">
        <f>_xlfn.XLOOKUP(C25,Rooms_Clean!$A$2:$A$51,Rooms_Clean!$C$2:$C$51,"Not Found")</f>
        <v>Deluxe</v>
      </c>
      <c r="H25" t="str">
        <f>_xlfn.XLOOKUP(B25,Guests_Clean!$A$2:$A$101,Guests_Clean!$B$2:$B$101)</f>
        <v>Pooja Deshmukh</v>
      </c>
      <c r="I25" s="13" t="str">
        <f>VLOOKUP(bookings10[[#This Row],[room_id]],rooms9[[room_id]:[room_type]],3,0)</f>
        <v>Deluxe</v>
      </c>
      <c r="J25" s="13" t="str">
        <f>VLOOKUP(bookings10[[#This Row],[guest_id]],guests8[[guest_id]:[city]],5,0)</f>
        <v>Nagpur</v>
      </c>
    </row>
    <row r="26" spans="1:10" x14ac:dyDescent="0.3">
      <c r="A26">
        <v>25</v>
      </c>
      <c r="B26">
        <v>25</v>
      </c>
      <c r="C26">
        <v>25</v>
      </c>
      <c r="D26" s="2">
        <v>46336</v>
      </c>
      <c r="E26" s="2">
        <v>46339</v>
      </c>
      <c r="F26" t="s">
        <v>331</v>
      </c>
      <c r="G26" t="str">
        <f>_xlfn.XLOOKUP(C26,Rooms_Clean!$A$2:$A$51,Rooms_Clean!$C$2:$C$51,"Not Found")</f>
        <v>Suite</v>
      </c>
      <c r="H26" t="str">
        <f>_xlfn.XLOOKUP(B26,Guests_Clean!$A$2:$A$101,Guests_Clean!$B$2:$B$101)</f>
        <v>Karan Joshi</v>
      </c>
      <c r="I26" s="13" t="str">
        <f>VLOOKUP(bookings10[[#This Row],[room_id]],rooms9[[room_id]:[room_type]],3,0)</f>
        <v>Suite</v>
      </c>
      <c r="J26" s="13" t="str">
        <f>VLOOKUP(bookings10[[#This Row],[guest_id]],guests8[[guest_id]:[city]],5,0)</f>
        <v>Pune</v>
      </c>
    </row>
    <row r="27" spans="1:10" x14ac:dyDescent="0.3">
      <c r="A27">
        <v>26</v>
      </c>
      <c r="B27">
        <v>26</v>
      </c>
      <c r="C27">
        <v>26</v>
      </c>
      <c r="D27" s="2">
        <v>46337</v>
      </c>
      <c r="E27" s="2">
        <v>46341</v>
      </c>
      <c r="F27" t="s">
        <v>331</v>
      </c>
      <c r="G27" t="str">
        <f>_xlfn.XLOOKUP(C27,Rooms_Clean!$A$2:$A$51,Rooms_Clean!$C$2:$C$51,"Not Found")</f>
        <v>Single</v>
      </c>
      <c r="H27" t="str">
        <f>_xlfn.XLOOKUP(B27,Guests_Clean!$A$2:$A$101,Guests_Clean!$B$2:$B$101)</f>
        <v>Priya Shah</v>
      </c>
      <c r="I27" s="13" t="str">
        <f>VLOOKUP(bookings10[[#This Row],[room_id]],rooms9[[room_id]:[room_type]],3,0)</f>
        <v>Single</v>
      </c>
      <c r="J27" s="13" t="str">
        <f>VLOOKUP(bookings10[[#This Row],[guest_id]],guests8[[guest_id]:[city]],5,0)</f>
        <v>Mumbai</v>
      </c>
    </row>
    <row r="28" spans="1:10" x14ac:dyDescent="0.3">
      <c r="A28">
        <v>27</v>
      </c>
      <c r="B28">
        <v>27</v>
      </c>
      <c r="C28">
        <v>27</v>
      </c>
      <c r="D28" s="2">
        <v>46338</v>
      </c>
      <c r="E28" s="2">
        <v>46340</v>
      </c>
      <c r="F28" t="s">
        <v>331</v>
      </c>
      <c r="G28" t="str">
        <f>_xlfn.XLOOKUP(C28,Rooms_Clean!$A$2:$A$51,Rooms_Clean!$C$2:$C$51,"Not Found")</f>
        <v>Double</v>
      </c>
      <c r="H28" t="str">
        <f>_xlfn.XLOOKUP(B28,Guests_Clean!$A$2:$A$101,Guests_Clean!$B$2:$B$101)</f>
        <v>Rahul More</v>
      </c>
      <c r="I28" s="13" t="str">
        <f>VLOOKUP(bookings10[[#This Row],[room_id]],rooms9[[room_id]:[room_type]],3,0)</f>
        <v>Double</v>
      </c>
      <c r="J28" s="13" t="str">
        <f>VLOOKUP(bookings10[[#This Row],[guest_id]],guests8[[guest_id]:[city]],5,0)</f>
        <v>Nashik</v>
      </c>
    </row>
    <row r="29" spans="1:10" x14ac:dyDescent="0.3">
      <c r="A29">
        <v>28</v>
      </c>
      <c r="B29">
        <v>28</v>
      </c>
      <c r="C29">
        <v>28</v>
      </c>
      <c r="D29" s="2">
        <v>46339</v>
      </c>
      <c r="E29" s="2">
        <v>46342</v>
      </c>
      <c r="F29" t="s">
        <v>331</v>
      </c>
      <c r="G29" t="str">
        <f>_xlfn.XLOOKUP(C29,Rooms_Clean!$A$2:$A$51,Rooms_Clean!$C$2:$C$51,"Not Found")</f>
        <v>Deluxe</v>
      </c>
      <c r="H29" t="str">
        <f>_xlfn.XLOOKUP(B29,Guests_Clean!$A$2:$A$101,Guests_Clean!$B$2:$B$101)</f>
        <v>Neha Pawar</v>
      </c>
      <c r="I29" s="13" t="str">
        <f>VLOOKUP(bookings10[[#This Row],[room_id]],rooms9[[room_id]:[room_type]],3,0)</f>
        <v>Deluxe</v>
      </c>
      <c r="J29" s="13" t="str">
        <f>VLOOKUP(bookings10[[#This Row],[guest_id]],guests8[[guest_id]:[city]],5,0)</f>
        <v>Nagpur</v>
      </c>
    </row>
    <row r="30" spans="1:10" x14ac:dyDescent="0.3">
      <c r="A30">
        <v>29</v>
      </c>
      <c r="B30">
        <v>29</v>
      </c>
      <c r="C30">
        <v>29</v>
      </c>
      <c r="D30" s="2">
        <v>46340</v>
      </c>
      <c r="E30" s="2">
        <v>46344</v>
      </c>
      <c r="F30" t="s">
        <v>331</v>
      </c>
      <c r="G30" t="str">
        <f>_xlfn.XLOOKUP(C30,Rooms_Clean!$A$2:$A$51,Rooms_Clean!$C$2:$C$51,"Not Found")</f>
        <v>Suite</v>
      </c>
      <c r="H30" t="str">
        <f>_xlfn.XLOOKUP(B30,Guests_Clean!$A$2:$A$101,Guests_Clean!$B$2:$B$101)</f>
        <v>Sanket Jadhav</v>
      </c>
      <c r="I30" s="13" t="str">
        <f>VLOOKUP(bookings10[[#This Row],[room_id]],rooms9[[room_id]:[room_type]],3,0)</f>
        <v>Suite</v>
      </c>
      <c r="J30" s="13" t="str">
        <f>VLOOKUP(bookings10[[#This Row],[guest_id]],guests8[[guest_id]:[city]],5,0)</f>
        <v>Pune</v>
      </c>
    </row>
    <row r="31" spans="1:10" x14ac:dyDescent="0.3">
      <c r="A31">
        <v>30</v>
      </c>
      <c r="B31">
        <v>30</v>
      </c>
      <c r="C31">
        <v>30</v>
      </c>
      <c r="D31" s="2">
        <v>46341</v>
      </c>
      <c r="E31" s="2">
        <v>46343</v>
      </c>
      <c r="F31" t="s">
        <v>332</v>
      </c>
      <c r="G31" t="str">
        <f>_xlfn.XLOOKUP(C31,Rooms_Clean!$A$2:$A$51,Rooms_Clean!$C$2:$C$51,"Not Found")</f>
        <v>Single</v>
      </c>
      <c r="H31" t="str">
        <f>_xlfn.XLOOKUP(B31,Guests_Clean!$A$2:$A$101,Guests_Clean!$B$2:$B$101)</f>
        <v>Anjali Patil</v>
      </c>
      <c r="I31" s="13" t="str">
        <f>VLOOKUP(bookings10[[#This Row],[room_id]],rooms9[[room_id]:[room_type]],3,0)</f>
        <v>Single</v>
      </c>
      <c r="J31" s="13" t="str">
        <f>VLOOKUP(bookings10[[#This Row],[guest_id]],guests8[[guest_id]:[city]],5,0)</f>
        <v>Mumbai</v>
      </c>
    </row>
    <row r="32" spans="1:10" x14ac:dyDescent="0.3">
      <c r="A32">
        <v>31</v>
      </c>
      <c r="B32">
        <v>31</v>
      </c>
      <c r="C32">
        <v>31</v>
      </c>
      <c r="D32" s="2">
        <v>46342</v>
      </c>
      <c r="E32" s="2">
        <v>46345</v>
      </c>
      <c r="F32" t="s">
        <v>330</v>
      </c>
      <c r="G32" t="str">
        <f>_xlfn.XLOOKUP(C32,Rooms_Clean!$A$2:$A$51,Rooms_Clean!$C$2:$C$51,"Not Found")</f>
        <v>Double</v>
      </c>
      <c r="H32" t="str">
        <f>_xlfn.XLOOKUP(B32,Guests_Clean!$A$2:$A$101,Guests_Clean!$B$2:$B$101)</f>
        <v>Vikas Shinde</v>
      </c>
      <c r="I32" s="13" t="str">
        <f>VLOOKUP(bookings10[[#This Row],[room_id]],rooms9[[room_id]:[room_type]],3,0)</f>
        <v>Double</v>
      </c>
      <c r="J32" s="13" t="str">
        <f>VLOOKUP(bookings10[[#This Row],[guest_id]],guests8[[guest_id]:[city]],5,0)</f>
        <v>Nashik</v>
      </c>
    </row>
    <row r="33" spans="1:10" x14ac:dyDescent="0.3">
      <c r="A33">
        <v>32</v>
      </c>
      <c r="B33">
        <v>32</v>
      </c>
      <c r="C33">
        <v>32</v>
      </c>
      <c r="D33" s="2">
        <v>46343</v>
      </c>
      <c r="E33" s="2">
        <v>46347</v>
      </c>
      <c r="F33" t="s">
        <v>331</v>
      </c>
      <c r="G33" t="str">
        <f>_xlfn.XLOOKUP(C33,Rooms_Clean!$A$2:$A$51,Rooms_Clean!$C$2:$C$51,"Not Found")</f>
        <v>Deluxe</v>
      </c>
      <c r="H33" t="str">
        <f>_xlfn.XLOOKUP(B33,Guests_Clean!$A$2:$A$101,Guests_Clean!$B$2:$B$101)</f>
        <v>Meera Joshi</v>
      </c>
      <c r="I33" s="13" t="str">
        <f>VLOOKUP(bookings10[[#This Row],[room_id]],rooms9[[room_id]:[room_type]],3,0)</f>
        <v>Deluxe</v>
      </c>
      <c r="J33" s="13" t="str">
        <f>VLOOKUP(bookings10[[#This Row],[guest_id]],guests8[[guest_id]:[city]],5,0)</f>
        <v>Nagpur</v>
      </c>
    </row>
    <row r="34" spans="1:10" x14ac:dyDescent="0.3">
      <c r="A34">
        <v>33</v>
      </c>
      <c r="B34">
        <v>33</v>
      </c>
      <c r="C34">
        <v>33</v>
      </c>
      <c r="D34" s="2">
        <v>46344</v>
      </c>
      <c r="E34" s="2">
        <v>46346</v>
      </c>
      <c r="F34" t="s">
        <v>331</v>
      </c>
      <c r="G34" t="str">
        <f>_xlfn.XLOOKUP(C34,Rooms_Clean!$A$2:$A$51,Rooms_Clean!$C$2:$C$51,"Not Found")</f>
        <v>Suite</v>
      </c>
      <c r="H34" t="str">
        <f>_xlfn.XLOOKUP(B34,Guests_Clean!$A$2:$A$101,Guests_Clean!$B$2:$B$101)</f>
        <v>Akash Pawar</v>
      </c>
      <c r="I34" s="13" t="str">
        <f>VLOOKUP(bookings10[[#This Row],[room_id]],rooms9[[room_id]:[room_type]],3,0)</f>
        <v>Suite</v>
      </c>
      <c r="J34" s="13" t="str">
        <f>VLOOKUP(bookings10[[#This Row],[guest_id]],guests8[[guest_id]:[city]],5,0)</f>
        <v>Pune</v>
      </c>
    </row>
    <row r="35" spans="1:10" x14ac:dyDescent="0.3">
      <c r="A35">
        <v>34</v>
      </c>
      <c r="B35">
        <v>34</v>
      </c>
      <c r="C35">
        <v>34</v>
      </c>
      <c r="D35" s="2">
        <v>46345</v>
      </c>
      <c r="E35" s="2">
        <v>46348</v>
      </c>
      <c r="F35" t="s">
        <v>331</v>
      </c>
      <c r="G35" t="str">
        <f>_xlfn.XLOOKUP(C35,Rooms_Clean!$A$2:$A$51,Rooms_Clean!$C$2:$C$51,"Not Found")</f>
        <v>Single</v>
      </c>
      <c r="H35" t="str">
        <f>_xlfn.XLOOKUP(B35,Guests_Clean!$A$2:$A$101,Guests_Clean!$B$2:$B$101)</f>
        <v>Rutuja More</v>
      </c>
      <c r="I35" s="13" t="str">
        <f>VLOOKUP(bookings10[[#This Row],[room_id]],rooms9[[room_id]:[room_type]],3,0)</f>
        <v>Single</v>
      </c>
      <c r="J35" s="13" t="str">
        <f>VLOOKUP(bookings10[[#This Row],[guest_id]],guests8[[guest_id]:[city]],5,0)</f>
        <v>Mumbai</v>
      </c>
    </row>
    <row r="36" spans="1:10" x14ac:dyDescent="0.3">
      <c r="A36">
        <v>35</v>
      </c>
      <c r="B36">
        <v>35</v>
      </c>
      <c r="C36">
        <v>35</v>
      </c>
      <c r="D36" s="2">
        <v>46346</v>
      </c>
      <c r="E36" s="2">
        <v>46350</v>
      </c>
      <c r="F36" t="s">
        <v>331</v>
      </c>
      <c r="G36" t="str">
        <f>_xlfn.XLOOKUP(C36,Rooms_Clean!$A$2:$A$51,Rooms_Clean!$C$2:$C$51,"Not Found")</f>
        <v>Double</v>
      </c>
      <c r="H36" t="str">
        <f>_xlfn.XLOOKUP(B36,Guests_Clean!$A$2:$A$101,Guests_Clean!$B$2:$B$101)</f>
        <v>Nikhil Patil</v>
      </c>
      <c r="I36" s="13" t="str">
        <f>VLOOKUP(bookings10[[#This Row],[room_id]],rooms9[[room_id]:[room_type]],3,0)</f>
        <v>Double</v>
      </c>
      <c r="J36" s="13" t="str">
        <f>VLOOKUP(bookings10[[#This Row],[guest_id]],guests8[[guest_id]:[city]],5,0)</f>
        <v>Nashik</v>
      </c>
    </row>
    <row r="37" spans="1:10" x14ac:dyDescent="0.3">
      <c r="A37">
        <v>36</v>
      </c>
      <c r="B37">
        <v>36</v>
      </c>
      <c r="C37">
        <v>36</v>
      </c>
      <c r="D37" s="2">
        <v>46347</v>
      </c>
      <c r="E37" s="2">
        <v>46349</v>
      </c>
      <c r="F37" t="s">
        <v>331</v>
      </c>
      <c r="G37" t="str">
        <f>_xlfn.XLOOKUP(C37,Rooms_Clean!$A$2:$A$51,Rooms_Clean!$C$2:$C$51,"Not Found")</f>
        <v>Deluxe</v>
      </c>
      <c r="H37" t="str">
        <f>_xlfn.XLOOKUP(B37,Guests_Clean!$A$2:$A$101,Guests_Clean!$B$2:$B$101)</f>
        <v>Kavita Shah</v>
      </c>
      <c r="I37" s="13" t="str">
        <f>VLOOKUP(bookings10[[#This Row],[room_id]],rooms9[[room_id]:[room_type]],3,0)</f>
        <v>Deluxe</v>
      </c>
      <c r="J37" s="13" t="str">
        <f>VLOOKUP(bookings10[[#This Row],[guest_id]],guests8[[guest_id]:[city]],5,0)</f>
        <v>Nagpur</v>
      </c>
    </row>
    <row r="38" spans="1:10" x14ac:dyDescent="0.3">
      <c r="A38">
        <v>37</v>
      </c>
      <c r="B38">
        <v>37</v>
      </c>
      <c r="C38">
        <v>37</v>
      </c>
      <c r="D38" s="2">
        <v>46348</v>
      </c>
      <c r="E38" s="2">
        <v>46351</v>
      </c>
      <c r="F38" t="s">
        <v>331</v>
      </c>
      <c r="G38" t="str">
        <f>_xlfn.XLOOKUP(C38,Rooms_Clean!$A$2:$A$51,Rooms_Clean!$C$2:$C$51,"Not Found")</f>
        <v>Suite</v>
      </c>
      <c r="H38" t="str">
        <f>_xlfn.XLOOKUP(B38,Guests_Clean!$A$2:$A$101,Guests_Clean!$B$2:$B$101)</f>
        <v>Sagar Kulkarni</v>
      </c>
      <c r="I38" s="13" t="str">
        <f>VLOOKUP(bookings10[[#This Row],[room_id]],rooms9[[room_id]:[room_type]],3,0)</f>
        <v>Suite</v>
      </c>
      <c r="J38" s="13" t="str">
        <f>VLOOKUP(bookings10[[#This Row],[guest_id]],guests8[[guest_id]:[city]],5,0)</f>
        <v>Pune</v>
      </c>
    </row>
    <row r="39" spans="1:10" x14ac:dyDescent="0.3">
      <c r="A39">
        <v>38</v>
      </c>
      <c r="B39">
        <v>38</v>
      </c>
      <c r="C39">
        <v>38</v>
      </c>
      <c r="D39" s="2">
        <v>46349</v>
      </c>
      <c r="E39" s="2">
        <v>46353</v>
      </c>
      <c r="F39" t="s">
        <v>331</v>
      </c>
      <c r="G39" t="str">
        <f>_xlfn.XLOOKUP(C39,Rooms_Clean!$A$2:$A$51,Rooms_Clean!$C$2:$C$51,"Not Found")</f>
        <v>Single</v>
      </c>
      <c r="H39" t="str">
        <f>_xlfn.XLOOKUP(B39,Guests_Clean!$A$2:$A$101,Guests_Clean!$B$2:$B$101)</f>
        <v>Isha Deshmukh</v>
      </c>
      <c r="I39" s="13" t="str">
        <f>VLOOKUP(bookings10[[#This Row],[room_id]],rooms9[[room_id]:[room_type]],3,0)</f>
        <v>Single</v>
      </c>
      <c r="J39" s="13" t="str">
        <f>VLOOKUP(bookings10[[#This Row],[guest_id]],guests8[[guest_id]:[city]],5,0)</f>
        <v>Mumbai</v>
      </c>
    </row>
    <row r="40" spans="1:10" x14ac:dyDescent="0.3">
      <c r="A40">
        <v>39</v>
      </c>
      <c r="B40">
        <v>39</v>
      </c>
      <c r="C40">
        <v>39</v>
      </c>
      <c r="D40" s="2">
        <v>46350</v>
      </c>
      <c r="E40" s="2">
        <v>46352</v>
      </c>
      <c r="F40" t="s">
        <v>331</v>
      </c>
      <c r="G40" t="str">
        <f>_xlfn.XLOOKUP(C40,Rooms_Clean!$A$2:$A$51,Rooms_Clean!$C$2:$C$51,"Not Found")</f>
        <v>Double</v>
      </c>
      <c r="H40" t="str">
        <f>_xlfn.XLOOKUP(B40,Guests_Clean!$A$2:$A$101,Guests_Clean!$B$2:$B$101)</f>
        <v>Omkar Jadhav</v>
      </c>
      <c r="I40" s="13" t="str">
        <f>VLOOKUP(bookings10[[#This Row],[room_id]],rooms9[[room_id]:[room_type]],3,0)</f>
        <v>Double</v>
      </c>
      <c r="J40" s="13" t="str">
        <f>VLOOKUP(bookings10[[#This Row],[guest_id]],guests8[[guest_id]:[city]],5,0)</f>
        <v>Nashik</v>
      </c>
    </row>
    <row r="41" spans="1:10" x14ac:dyDescent="0.3">
      <c r="A41">
        <v>40</v>
      </c>
      <c r="B41">
        <v>40</v>
      </c>
      <c r="C41">
        <v>40</v>
      </c>
      <c r="D41" s="2">
        <v>46351</v>
      </c>
      <c r="E41" s="2">
        <v>46354</v>
      </c>
      <c r="F41" t="s">
        <v>332</v>
      </c>
      <c r="G41" t="str">
        <f>_xlfn.XLOOKUP(C41,Rooms_Clean!$A$2:$A$51,Rooms_Clean!$C$2:$C$51,"Not Found")</f>
        <v>Deluxe</v>
      </c>
      <c r="H41" t="str">
        <f>_xlfn.XLOOKUP(B41,Guests_Clean!$A$2:$A$101,Guests_Clean!$B$2:$B$101)</f>
        <v>Pallavi Sharma</v>
      </c>
      <c r="I41" s="13" t="str">
        <f>VLOOKUP(bookings10[[#This Row],[room_id]],rooms9[[room_id]:[room_type]],3,0)</f>
        <v>Deluxe</v>
      </c>
      <c r="J41" s="13" t="str">
        <f>VLOOKUP(bookings10[[#This Row],[guest_id]],guests8[[guest_id]:[city]],5,0)</f>
        <v>Nagpur</v>
      </c>
    </row>
    <row r="42" spans="1:10" x14ac:dyDescent="0.3">
      <c r="A42">
        <v>41</v>
      </c>
      <c r="B42">
        <v>41</v>
      </c>
      <c r="C42">
        <v>41</v>
      </c>
      <c r="D42" s="2">
        <v>46352</v>
      </c>
      <c r="E42" s="2">
        <v>46356</v>
      </c>
      <c r="F42" t="s">
        <v>330</v>
      </c>
      <c r="G42" t="str">
        <f>_xlfn.XLOOKUP(C42,Rooms_Clean!$A$2:$A$51,Rooms_Clean!$C$2:$C$51,"Not Found")</f>
        <v>Suite</v>
      </c>
      <c r="H42" t="str">
        <f>_xlfn.XLOOKUP(B42,Guests_Clean!$A$2:$A$101,Guests_Clean!$B$2:$B$101)</f>
        <v>Aditya Joshi</v>
      </c>
      <c r="I42" s="13" t="str">
        <f>VLOOKUP(bookings10[[#This Row],[room_id]],rooms9[[room_id]:[room_type]],3,0)</f>
        <v>Suite</v>
      </c>
      <c r="J42" s="13" t="str">
        <f>VLOOKUP(bookings10[[#This Row],[guest_id]],guests8[[guest_id]:[city]],5,0)</f>
        <v>Pune</v>
      </c>
    </row>
    <row r="43" spans="1:10" x14ac:dyDescent="0.3">
      <c r="A43">
        <v>42</v>
      </c>
      <c r="B43">
        <v>42</v>
      </c>
      <c r="C43">
        <v>42</v>
      </c>
      <c r="D43" s="2">
        <v>46353</v>
      </c>
      <c r="E43" s="2">
        <v>46355</v>
      </c>
      <c r="F43" t="s">
        <v>331</v>
      </c>
      <c r="G43" t="str">
        <f>_xlfn.XLOOKUP(C43,Rooms_Clean!$A$2:$A$51,Rooms_Clean!$C$2:$C$51,"Not Found")</f>
        <v>Single</v>
      </c>
      <c r="H43" t="str">
        <f>_xlfn.XLOOKUP(B43,Guests_Clean!$A$2:$A$101,Guests_Clean!$B$2:$B$101)</f>
        <v>Shruti Patil</v>
      </c>
      <c r="I43" s="13" t="str">
        <f>VLOOKUP(bookings10[[#This Row],[room_id]],rooms9[[room_id]:[room_type]],3,0)</f>
        <v>Single</v>
      </c>
      <c r="J43" s="13" t="str">
        <f>VLOOKUP(bookings10[[#This Row],[guest_id]],guests8[[guest_id]:[city]],5,0)</f>
        <v>Mumbai</v>
      </c>
    </row>
    <row r="44" spans="1:10" x14ac:dyDescent="0.3">
      <c r="A44">
        <v>43</v>
      </c>
      <c r="B44">
        <v>43</v>
      </c>
      <c r="C44">
        <v>43</v>
      </c>
      <c r="D44" s="2">
        <v>46354</v>
      </c>
      <c r="E44" s="2">
        <v>46357</v>
      </c>
      <c r="F44" t="s">
        <v>331</v>
      </c>
      <c r="G44" t="str">
        <f>_xlfn.XLOOKUP(C44,Rooms_Clean!$A$2:$A$51,Rooms_Clean!$C$2:$C$51,"Not Found")</f>
        <v>Double</v>
      </c>
      <c r="H44" t="str">
        <f>_xlfn.XLOOKUP(B44,Guests_Clean!$A$2:$A$101,Guests_Clean!$B$2:$B$101)</f>
        <v>Manoj Kulkarni</v>
      </c>
      <c r="I44" s="13" t="str">
        <f>VLOOKUP(bookings10[[#This Row],[room_id]],rooms9[[room_id]:[room_type]],3,0)</f>
        <v>Double</v>
      </c>
      <c r="J44" s="13" t="str">
        <f>VLOOKUP(bookings10[[#This Row],[guest_id]],guests8[[guest_id]:[city]],5,0)</f>
        <v>Nashik</v>
      </c>
    </row>
    <row r="45" spans="1:10" x14ac:dyDescent="0.3">
      <c r="A45">
        <v>44</v>
      </c>
      <c r="B45">
        <v>44</v>
      </c>
      <c r="C45">
        <v>44</v>
      </c>
      <c r="D45" s="2">
        <v>46355</v>
      </c>
      <c r="E45" s="2">
        <v>46359</v>
      </c>
      <c r="F45" t="s">
        <v>331</v>
      </c>
      <c r="G45" t="str">
        <f>_xlfn.XLOOKUP(C45,Rooms_Clean!$A$2:$A$51,Rooms_Clean!$C$2:$C$51,"Not Found")</f>
        <v>Deluxe</v>
      </c>
      <c r="H45" t="str">
        <f>_xlfn.XLOOKUP(B45,Guests_Clean!$A$2:$A$101,Guests_Clean!$B$2:$B$101)</f>
        <v>Sayali Deshmukh</v>
      </c>
      <c r="I45" s="13" t="str">
        <f>VLOOKUP(bookings10[[#This Row],[room_id]],rooms9[[room_id]:[room_type]],3,0)</f>
        <v>Deluxe</v>
      </c>
      <c r="J45" s="13" t="str">
        <f>VLOOKUP(bookings10[[#This Row],[guest_id]],guests8[[guest_id]:[city]],5,0)</f>
        <v>Nagpur</v>
      </c>
    </row>
    <row r="46" spans="1:10" x14ac:dyDescent="0.3">
      <c r="A46">
        <v>45</v>
      </c>
      <c r="B46">
        <v>45</v>
      </c>
      <c r="C46">
        <v>45</v>
      </c>
      <c r="D46" s="2">
        <v>46356</v>
      </c>
      <c r="E46" s="2">
        <v>46358</v>
      </c>
      <c r="F46" t="s">
        <v>331</v>
      </c>
      <c r="G46" t="str">
        <f>_xlfn.XLOOKUP(C46,Rooms_Clean!$A$2:$A$51,Rooms_Clean!$C$2:$C$51,"Not Found")</f>
        <v>Suite</v>
      </c>
      <c r="H46" t="str">
        <f>_xlfn.XLOOKUP(B46,Guests_Clean!$A$2:$A$101,Guests_Clean!$B$2:$B$101)</f>
        <v>Varun Shah</v>
      </c>
      <c r="I46" s="13" t="str">
        <f>VLOOKUP(bookings10[[#This Row],[room_id]],rooms9[[room_id]:[room_type]],3,0)</f>
        <v>Suite</v>
      </c>
      <c r="J46" s="13" t="str">
        <f>VLOOKUP(bookings10[[#This Row],[guest_id]],guests8[[guest_id]:[city]],5,0)</f>
        <v>Pune</v>
      </c>
    </row>
    <row r="47" spans="1:10" x14ac:dyDescent="0.3">
      <c r="A47">
        <v>46</v>
      </c>
      <c r="B47">
        <v>46</v>
      </c>
      <c r="C47">
        <v>46</v>
      </c>
      <c r="D47" s="2">
        <v>46357</v>
      </c>
      <c r="E47" s="2">
        <v>46360</v>
      </c>
      <c r="F47" t="s">
        <v>331</v>
      </c>
      <c r="G47" t="str">
        <f>_xlfn.XLOOKUP(C47,Rooms_Clean!$A$2:$A$51,Rooms_Clean!$C$2:$C$51,"Not Found")</f>
        <v>Single</v>
      </c>
      <c r="H47" t="str">
        <f>_xlfn.XLOOKUP(B47,Guests_Clean!$A$2:$A$101,Guests_Clean!$B$2:$B$101)</f>
        <v>Aarti Pawar</v>
      </c>
      <c r="I47" s="13" t="str">
        <f>VLOOKUP(bookings10[[#This Row],[room_id]],rooms9[[room_id]:[room_type]],3,0)</f>
        <v>Single</v>
      </c>
      <c r="J47" s="13" t="str">
        <f>VLOOKUP(bookings10[[#This Row],[guest_id]],guests8[[guest_id]:[city]],5,0)</f>
        <v>Mumbai</v>
      </c>
    </row>
    <row r="48" spans="1:10" x14ac:dyDescent="0.3">
      <c r="A48">
        <v>47</v>
      </c>
      <c r="B48">
        <v>47</v>
      </c>
      <c r="C48">
        <v>47</v>
      </c>
      <c r="D48" s="2">
        <v>46358</v>
      </c>
      <c r="E48" s="2">
        <v>46362</v>
      </c>
      <c r="F48" t="s">
        <v>331</v>
      </c>
      <c r="G48" t="str">
        <f>_xlfn.XLOOKUP(C48,Rooms_Clean!$A$2:$A$51,Rooms_Clean!$C$2:$C$51,"Not Found")</f>
        <v>Double</v>
      </c>
      <c r="H48" t="str">
        <f>_xlfn.XLOOKUP(B48,Guests_Clean!$A$2:$A$101,Guests_Clean!$B$2:$B$101)</f>
        <v>Prasad More</v>
      </c>
      <c r="I48" s="13" t="str">
        <f>VLOOKUP(bookings10[[#This Row],[room_id]],rooms9[[room_id]:[room_type]],3,0)</f>
        <v>Double</v>
      </c>
      <c r="J48" s="13" t="str">
        <f>VLOOKUP(bookings10[[#This Row],[guest_id]],guests8[[guest_id]:[city]],5,0)</f>
        <v>Nashik</v>
      </c>
    </row>
    <row r="49" spans="1:10" x14ac:dyDescent="0.3">
      <c r="A49">
        <v>48</v>
      </c>
      <c r="B49">
        <v>48</v>
      </c>
      <c r="C49">
        <v>48</v>
      </c>
      <c r="D49" s="2">
        <v>46359</v>
      </c>
      <c r="E49" s="2">
        <v>46361</v>
      </c>
      <c r="F49" t="s">
        <v>331</v>
      </c>
      <c r="G49" t="str">
        <f>_xlfn.XLOOKUP(C49,Rooms_Clean!$A$2:$A$51,Rooms_Clean!$C$2:$C$51,"Not Found")</f>
        <v>Deluxe</v>
      </c>
      <c r="H49" t="str">
        <f>_xlfn.XLOOKUP(B49,Guests_Clean!$A$2:$A$101,Guests_Clean!$B$2:$B$101)</f>
        <v>Riya Sharma</v>
      </c>
      <c r="I49" s="13" t="str">
        <f>VLOOKUP(bookings10[[#This Row],[room_id]],rooms9[[room_id]:[room_type]],3,0)</f>
        <v>Deluxe</v>
      </c>
      <c r="J49" s="13" t="str">
        <f>VLOOKUP(bookings10[[#This Row],[guest_id]],guests8[[guest_id]:[city]],5,0)</f>
        <v>Nagpur</v>
      </c>
    </row>
    <row r="50" spans="1:10" x14ac:dyDescent="0.3">
      <c r="A50">
        <v>49</v>
      </c>
      <c r="B50">
        <v>49</v>
      </c>
      <c r="C50">
        <v>49</v>
      </c>
      <c r="D50" s="2">
        <v>46360</v>
      </c>
      <c r="E50" s="2">
        <v>46363</v>
      </c>
      <c r="F50" t="s">
        <v>331</v>
      </c>
      <c r="G50" t="str">
        <f>_xlfn.XLOOKUP(C50,Rooms_Clean!$A$2:$A$51,Rooms_Clean!$C$2:$C$51,"Not Found")</f>
        <v>Suite</v>
      </c>
      <c r="H50" t="str">
        <f>_xlfn.XLOOKUP(B50,Guests_Clean!$A$2:$A$101,Guests_Clean!$B$2:$B$101)</f>
        <v>Tejas Jadhav</v>
      </c>
      <c r="I50" s="13" t="str">
        <f>VLOOKUP(bookings10[[#This Row],[room_id]],rooms9[[room_id]:[room_type]],3,0)</f>
        <v>Suite</v>
      </c>
      <c r="J50" s="13" t="str">
        <f>VLOOKUP(bookings10[[#This Row],[guest_id]],guests8[[guest_id]:[city]],5,0)</f>
        <v>Pune</v>
      </c>
    </row>
    <row r="51" spans="1:10" x14ac:dyDescent="0.3">
      <c r="A51">
        <v>50</v>
      </c>
      <c r="B51">
        <v>50</v>
      </c>
      <c r="C51">
        <v>50</v>
      </c>
      <c r="D51" s="2">
        <v>46361</v>
      </c>
      <c r="E51" s="2">
        <v>46365</v>
      </c>
      <c r="F51" t="s">
        <v>332</v>
      </c>
      <c r="G51" t="str">
        <f>_xlfn.XLOOKUP(C51,Rooms_Clean!$A$2:$A$51,Rooms_Clean!$C$2:$C$51,"Not Found")</f>
        <v>Double</v>
      </c>
      <c r="H51" t="str">
        <f>_xlfn.XLOOKUP(B51,Guests_Clean!$A$2:$A$101,Guests_Clean!$B$2:$B$101)</f>
        <v>Madhura Shinde</v>
      </c>
      <c r="I51" s="13" t="str">
        <f>VLOOKUP(bookings10[[#This Row],[room_id]],rooms9[[room_id]:[room_type]],3,0)</f>
        <v>Double</v>
      </c>
      <c r="J51" s="13" t="str">
        <f>VLOOKUP(bookings10[[#This Row],[guest_id]],guests8[[guest_id]:[city]],5,0)</f>
        <v>Mumbai</v>
      </c>
    </row>
    <row r="52" spans="1:10" x14ac:dyDescent="0.3">
      <c r="A52">
        <v>51</v>
      </c>
      <c r="B52">
        <v>51</v>
      </c>
      <c r="C52">
        <v>1</v>
      </c>
      <c r="D52" s="2">
        <v>46362</v>
      </c>
      <c r="E52" s="2">
        <v>46364</v>
      </c>
      <c r="F52" t="s">
        <v>330</v>
      </c>
      <c r="G52" t="str">
        <f>_xlfn.XLOOKUP(C52,Rooms_Clean!$A$2:$A$51,Rooms_Clean!$C$2:$C$51,"Not Found")</f>
        <v>Single</v>
      </c>
      <c r="H52" t="str">
        <f>_xlfn.XLOOKUP(B52,Guests_Clean!$A$2:$A$101,Guests_Clean!$B$2:$B$101)</f>
        <v>Kunal Patil</v>
      </c>
      <c r="I52" s="13" t="str">
        <f>VLOOKUP(bookings10[[#This Row],[room_id]],rooms9[[room_id]:[room_type]],3,0)</f>
        <v>Single</v>
      </c>
      <c r="J52" s="13" t="str">
        <f>VLOOKUP(bookings10[[#This Row],[guest_id]],guests8[[guest_id]:[city]],5,0)</f>
        <v>Nashik</v>
      </c>
    </row>
    <row r="53" spans="1:10" x14ac:dyDescent="0.3">
      <c r="A53">
        <v>52</v>
      </c>
      <c r="B53">
        <v>52</v>
      </c>
      <c r="C53">
        <v>2</v>
      </c>
      <c r="D53" s="2">
        <v>46363</v>
      </c>
      <c r="E53" s="2">
        <v>46366</v>
      </c>
      <c r="F53" t="s">
        <v>331</v>
      </c>
      <c r="G53" t="str">
        <f>_xlfn.XLOOKUP(C53,Rooms_Clean!$A$2:$A$51,Rooms_Clean!$C$2:$C$51,"Not Found")</f>
        <v>Single</v>
      </c>
      <c r="H53" t="str">
        <f>_xlfn.XLOOKUP(B53,Guests_Clean!$A$2:$A$101,Guests_Clean!$B$2:$B$101)</f>
        <v>Mrunal Joshi</v>
      </c>
      <c r="I53" s="13" t="str">
        <f>VLOOKUP(bookings10[[#This Row],[room_id]],rooms9[[room_id]:[room_type]],3,0)</f>
        <v>Single</v>
      </c>
      <c r="J53" s="13" t="str">
        <f>VLOOKUP(bookings10[[#This Row],[guest_id]],guests8[[guest_id]:[city]],5,0)</f>
        <v>Nagpur</v>
      </c>
    </row>
    <row r="54" spans="1:10" x14ac:dyDescent="0.3">
      <c r="A54">
        <v>53</v>
      </c>
      <c r="B54">
        <v>53</v>
      </c>
      <c r="C54">
        <v>3</v>
      </c>
      <c r="D54" s="2">
        <v>46364</v>
      </c>
      <c r="E54" s="2">
        <v>46368</v>
      </c>
      <c r="F54" t="s">
        <v>331</v>
      </c>
      <c r="G54" t="str">
        <f>_xlfn.XLOOKUP(C54,Rooms_Clean!$A$2:$A$51,Rooms_Clean!$C$2:$C$51,"Not Found")</f>
        <v>Double</v>
      </c>
      <c r="H54" t="str">
        <f>_xlfn.XLOOKUP(B54,Guests_Clean!$A$2:$A$101,Guests_Clean!$B$2:$B$101)</f>
        <v>Harshad More</v>
      </c>
      <c r="I54" s="13" t="str">
        <f>VLOOKUP(bookings10[[#This Row],[room_id]],rooms9[[room_id]:[room_type]],3,0)</f>
        <v>Double</v>
      </c>
      <c r="J54" s="13" t="str">
        <f>VLOOKUP(bookings10[[#This Row],[guest_id]],guests8[[guest_id]:[city]],5,0)</f>
        <v>Pune</v>
      </c>
    </row>
    <row r="55" spans="1:10" x14ac:dyDescent="0.3">
      <c r="A55">
        <v>54</v>
      </c>
      <c r="B55">
        <v>54</v>
      </c>
      <c r="C55">
        <v>4</v>
      </c>
      <c r="D55" s="2">
        <v>46365</v>
      </c>
      <c r="E55" s="2">
        <v>46367</v>
      </c>
      <c r="F55" t="s">
        <v>331</v>
      </c>
      <c r="G55" t="str">
        <f>_xlfn.XLOOKUP(C55,Rooms_Clean!$A$2:$A$51,Rooms_Clean!$C$2:$C$51,"Not Found")</f>
        <v>Double</v>
      </c>
      <c r="H55" t="str">
        <f>_xlfn.XLOOKUP(B55,Guests_Clean!$A$2:$A$101,Guests_Clean!$B$2:$B$101)</f>
        <v>Komal Shinde</v>
      </c>
      <c r="I55" s="13" t="str">
        <f>VLOOKUP(bookings10[[#This Row],[room_id]],rooms9[[room_id]:[room_type]],3,0)</f>
        <v>Double</v>
      </c>
      <c r="J55" s="13" t="str">
        <f>VLOOKUP(bookings10[[#This Row],[guest_id]],guests8[[guest_id]:[city]],5,0)</f>
        <v>Mumbai</v>
      </c>
    </row>
    <row r="56" spans="1:10" x14ac:dyDescent="0.3">
      <c r="A56">
        <v>55</v>
      </c>
      <c r="B56">
        <v>55</v>
      </c>
      <c r="C56">
        <v>5</v>
      </c>
      <c r="D56" s="2">
        <v>46366</v>
      </c>
      <c r="E56" s="2">
        <v>46369</v>
      </c>
      <c r="F56" t="s">
        <v>331</v>
      </c>
      <c r="G56" t="str">
        <f>_xlfn.XLOOKUP(C56,Rooms_Clean!$A$2:$A$51,Rooms_Clean!$C$2:$C$51,"Not Found")</f>
        <v>Deluxe</v>
      </c>
      <c r="H56" t="str">
        <f>_xlfn.XLOOKUP(B56,Guests_Clean!$A$2:$A$101,Guests_Clean!$B$2:$B$101)</f>
        <v>Yash Kulkarni</v>
      </c>
      <c r="I56" s="13" t="str">
        <f>VLOOKUP(bookings10[[#This Row],[room_id]],rooms9[[room_id]:[room_type]],3,0)</f>
        <v>Deluxe</v>
      </c>
      <c r="J56" s="13" t="str">
        <f>VLOOKUP(bookings10[[#This Row],[guest_id]],guests8[[guest_id]:[city]],5,0)</f>
        <v>Nashik</v>
      </c>
    </row>
    <row r="57" spans="1:10" x14ac:dyDescent="0.3">
      <c r="A57">
        <v>56</v>
      </c>
      <c r="B57">
        <v>56</v>
      </c>
      <c r="C57">
        <v>6</v>
      </c>
      <c r="D57" s="2">
        <v>46367</v>
      </c>
      <c r="E57" s="2">
        <v>46371</v>
      </c>
      <c r="F57" t="s">
        <v>331</v>
      </c>
      <c r="G57" t="str">
        <f>_xlfn.XLOOKUP(C57,Rooms_Clean!$A$2:$A$51,Rooms_Clean!$C$2:$C$51,"Not Found")</f>
        <v>Deluxe</v>
      </c>
      <c r="H57" t="str">
        <f>_xlfn.XLOOKUP(B57,Guests_Clean!$A$2:$A$101,Guests_Clean!$B$2:$B$101)</f>
        <v>Tanvi Pawar</v>
      </c>
      <c r="I57" s="13" t="str">
        <f>VLOOKUP(bookings10[[#This Row],[room_id]],rooms9[[room_id]:[room_type]],3,0)</f>
        <v>Deluxe</v>
      </c>
      <c r="J57" s="13" t="str">
        <f>VLOOKUP(bookings10[[#This Row],[guest_id]],guests8[[guest_id]:[city]],5,0)</f>
        <v>Nagpur</v>
      </c>
    </row>
    <row r="58" spans="1:10" x14ac:dyDescent="0.3">
      <c r="A58">
        <v>57</v>
      </c>
      <c r="B58">
        <v>57</v>
      </c>
      <c r="C58">
        <v>7</v>
      </c>
      <c r="D58" s="2">
        <v>46368</v>
      </c>
      <c r="E58" s="2">
        <v>46370</v>
      </c>
      <c r="F58" t="s">
        <v>331</v>
      </c>
      <c r="G58" t="str">
        <f>_xlfn.XLOOKUP(C58,Rooms_Clean!$A$2:$A$51,Rooms_Clean!$C$2:$C$51,"Not Found")</f>
        <v>Suite</v>
      </c>
      <c r="H58" t="str">
        <f>_xlfn.XLOOKUP(B58,Guests_Clean!$A$2:$A$101,Guests_Clean!$B$2:$B$101)</f>
        <v>Abhishek Shah</v>
      </c>
      <c r="I58" s="13" t="str">
        <f>VLOOKUP(bookings10[[#This Row],[room_id]],rooms9[[room_id]:[room_type]],3,0)</f>
        <v>Suite</v>
      </c>
      <c r="J58" s="13" t="str">
        <f>VLOOKUP(bookings10[[#This Row],[guest_id]],guests8[[guest_id]:[city]],5,0)</f>
        <v>Pune</v>
      </c>
    </row>
    <row r="59" spans="1:10" x14ac:dyDescent="0.3">
      <c r="A59">
        <v>58</v>
      </c>
      <c r="B59">
        <v>58</v>
      </c>
      <c r="C59">
        <v>8</v>
      </c>
      <c r="D59" s="2">
        <v>46369</v>
      </c>
      <c r="E59" s="2">
        <v>46372</v>
      </c>
      <c r="F59" t="s">
        <v>331</v>
      </c>
      <c r="G59" t="str">
        <f>_xlfn.XLOOKUP(C59,Rooms_Clean!$A$2:$A$51,Rooms_Clean!$C$2:$C$51,"Not Found")</f>
        <v>Suite</v>
      </c>
      <c r="H59" t="str">
        <f>_xlfn.XLOOKUP(B59,Guests_Clean!$A$2:$A$101,Guests_Clean!$B$2:$B$101)</f>
        <v>Sakshi Jadhav</v>
      </c>
      <c r="I59" s="13" t="str">
        <f>VLOOKUP(bookings10[[#This Row],[room_id]],rooms9[[room_id]:[room_type]],3,0)</f>
        <v>Suite</v>
      </c>
      <c r="J59" s="13" t="str">
        <f>VLOOKUP(bookings10[[#This Row],[guest_id]],guests8[[guest_id]:[city]],5,0)</f>
        <v>Mumbai</v>
      </c>
    </row>
    <row r="60" spans="1:10" x14ac:dyDescent="0.3">
      <c r="A60">
        <v>59</v>
      </c>
      <c r="B60">
        <v>59</v>
      </c>
      <c r="C60">
        <v>9</v>
      </c>
      <c r="D60" s="2">
        <v>46370</v>
      </c>
      <c r="E60" s="2">
        <v>46374</v>
      </c>
      <c r="F60" t="s">
        <v>331</v>
      </c>
      <c r="G60" t="str">
        <f>_xlfn.XLOOKUP(C60,Rooms_Clean!$A$2:$A$51,Rooms_Clean!$C$2:$C$51,"Not Found")</f>
        <v>Double</v>
      </c>
      <c r="H60" t="str">
        <f>_xlfn.XLOOKUP(B60,Guests_Clean!$A$2:$A$101,Guests_Clean!$B$2:$B$101)</f>
        <v>Chaitanya Deshmukh</v>
      </c>
      <c r="I60" s="13" t="str">
        <f>VLOOKUP(bookings10[[#This Row],[room_id]],rooms9[[room_id]:[room_type]],3,0)</f>
        <v>Double</v>
      </c>
      <c r="J60" s="13" t="str">
        <f>VLOOKUP(bookings10[[#This Row],[guest_id]],guests8[[guest_id]:[city]],5,0)</f>
        <v>Nashik</v>
      </c>
    </row>
    <row r="61" spans="1:10" x14ac:dyDescent="0.3">
      <c r="A61">
        <v>60</v>
      </c>
      <c r="B61">
        <v>60</v>
      </c>
      <c r="C61">
        <v>10</v>
      </c>
      <c r="D61" s="2">
        <v>46371</v>
      </c>
      <c r="E61" s="2">
        <v>46373</v>
      </c>
      <c r="F61" t="s">
        <v>332</v>
      </c>
      <c r="G61" t="str">
        <f>_xlfn.XLOOKUP(C61,Rooms_Clean!$A$2:$A$51,Rooms_Clean!$C$2:$C$51,"Not Found")</f>
        <v>Deluxe</v>
      </c>
      <c r="H61" t="str">
        <f>_xlfn.XLOOKUP(B61,Guests_Clean!$A$2:$A$101,Guests_Clean!$B$2:$B$101)</f>
        <v>Aishwarya Sharma</v>
      </c>
      <c r="I61" s="13" t="str">
        <f>VLOOKUP(bookings10[[#This Row],[room_id]],rooms9[[room_id]:[room_type]],3,0)</f>
        <v>Deluxe</v>
      </c>
      <c r="J61" s="13" t="str">
        <f>VLOOKUP(bookings10[[#This Row],[guest_id]],guests8[[guest_id]:[city]],5,0)</f>
        <v>Nagpur</v>
      </c>
    </row>
    <row r="62" spans="1:10" x14ac:dyDescent="0.3">
      <c r="A62">
        <v>61</v>
      </c>
      <c r="B62">
        <v>61</v>
      </c>
      <c r="C62">
        <v>11</v>
      </c>
      <c r="D62" s="2">
        <v>46372</v>
      </c>
      <c r="E62" s="2">
        <v>46375</v>
      </c>
      <c r="F62" t="s">
        <v>330</v>
      </c>
      <c r="G62" t="str">
        <f>_xlfn.XLOOKUP(C62,Rooms_Clean!$A$2:$A$51,Rooms_Clean!$C$2:$C$51,"Not Found")</f>
        <v>Single</v>
      </c>
      <c r="H62" t="str">
        <f>_xlfn.XLOOKUP(B62,Guests_Clean!$A$2:$A$101,Guests_Clean!$B$2:$B$101)</f>
        <v>Nitin Patil</v>
      </c>
      <c r="I62" s="13" t="str">
        <f>VLOOKUP(bookings10[[#This Row],[room_id]],rooms9[[room_id]:[room_type]],3,0)</f>
        <v>Single</v>
      </c>
      <c r="J62" s="13" t="str">
        <f>VLOOKUP(bookings10[[#This Row],[guest_id]],guests8[[guest_id]:[city]],5,0)</f>
        <v>Pune</v>
      </c>
    </row>
    <row r="63" spans="1:10" x14ac:dyDescent="0.3">
      <c r="A63">
        <v>62</v>
      </c>
      <c r="B63">
        <v>62</v>
      </c>
      <c r="C63">
        <v>12</v>
      </c>
      <c r="D63" s="2">
        <v>46373</v>
      </c>
      <c r="E63" s="2">
        <v>46377</v>
      </c>
      <c r="F63" t="s">
        <v>331</v>
      </c>
      <c r="G63" t="str">
        <f>_xlfn.XLOOKUP(C63,Rooms_Clean!$A$2:$A$51,Rooms_Clean!$C$2:$C$51,"Not Found")</f>
        <v>Double</v>
      </c>
      <c r="H63" t="str">
        <f>_xlfn.XLOOKUP(B63,Guests_Clean!$A$2:$A$101,Guests_Clean!$B$2:$B$101)</f>
        <v>Manasi Kulkarni</v>
      </c>
      <c r="I63" s="13" t="str">
        <f>VLOOKUP(bookings10[[#This Row],[room_id]],rooms9[[room_id]:[room_type]],3,0)</f>
        <v>Double</v>
      </c>
      <c r="J63" s="13" t="str">
        <f>VLOOKUP(bookings10[[#This Row],[guest_id]],guests8[[guest_id]:[city]],5,0)</f>
        <v>Mumbai</v>
      </c>
    </row>
    <row r="64" spans="1:10" x14ac:dyDescent="0.3">
      <c r="A64">
        <v>63</v>
      </c>
      <c r="B64">
        <v>63</v>
      </c>
      <c r="C64">
        <v>13</v>
      </c>
      <c r="D64" s="2">
        <v>46374</v>
      </c>
      <c r="E64" s="2">
        <v>46376</v>
      </c>
      <c r="F64" t="s">
        <v>331</v>
      </c>
      <c r="G64" t="str">
        <f>_xlfn.XLOOKUP(C64,Rooms_Clean!$A$2:$A$51,Rooms_Clean!$C$2:$C$51,"Not Found")</f>
        <v>Deluxe</v>
      </c>
      <c r="H64" t="str">
        <f>_xlfn.XLOOKUP(B64,Guests_Clean!$A$2:$A$101,Guests_Clean!$B$2:$B$101)</f>
        <v>Swapnil Joshi</v>
      </c>
      <c r="I64" s="13" t="str">
        <f>VLOOKUP(bookings10[[#This Row],[room_id]],rooms9[[room_id]:[room_type]],3,0)</f>
        <v>Deluxe</v>
      </c>
      <c r="J64" s="13" t="str">
        <f>VLOOKUP(bookings10[[#This Row],[guest_id]],guests8[[guest_id]:[city]],5,0)</f>
        <v>Nashik</v>
      </c>
    </row>
    <row r="65" spans="1:10" x14ac:dyDescent="0.3">
      <c r="A65">
        <v>64</v>
      </c>
      <c r="B65">
        <v>64</v>
      </c>
      <c r="C65">
        <v>14</v>
      </c>
      <c r="D65" s="2">
        <v>46375</v>
      </c>
      <c r="E65" s="2">
        <v>46378</v>
      </c>
      <c r="F65" t="s">
        <v>331</v>
      </c>
      <c r="G65" t="str">
        <f>_xlfn.XLOOKUP(C65,Rooms_Clean!$A$2:$A$51,Rooms_Clean!$C$2:$C$51,"Not Found")</f>
        <v>Suite</v>
      </c>
      <c r="H65" t="str">
        <f>_xlfn.XLOOKUP(B65,Guests_Clean!$A$2:$A$101,Guests_Clean!$B$2:$B$101)</f>
        <v>Gauri Deshmukh</v>
      </c>
      <c r="I65" s="13" t="str">
        <f>VLOOKUP(bookings10[[#This Row],[room_id]],rooms9[[room_id]:[room_type]],3,0)</f>
        <v>Suite</v>
      </c>
      <c r="J65" s="13" t="str">
        <f>VLOOKUP(bookings10[[#This Row],[guest_id]],guests8[[guest_id]:[city]],5,0)</f>
        <v>Nagpur</v>
      </c>
    </row>
    <row r="66" spans="1:10" x14ac:dyDescent="0.3">
      <c r="A66">
        <v>65</v>
      </c>
      <c r="B66">
        <v>65</v>
      </c>
      <c r="C66">
        <v>15</v>
      </c>
      <c r="D66" s="2">
        <v>46376</v>
      </c>
      <c r="E66" s="2">
        <v>46380</v>
      </c>
      <c r="F66" t="s">
        <v>331</v>
      </c>
      <c r="G66" t="str">
        <f>_xlfn.XLOOKUP(C66,Rooms_Clean!$A$2:$A$51,Rooms_Clean!$C$2:$C$51,"Not Found")</f>
        <v>Double</v>
      </c>
      <c r="H66" t="str">
        <f>_xlfn.XLOOKUP(B66,Guests_Clean!$A$2:$A$101,Guests_Clean!$B$2:$B$101)</f>
        <v>Rohit Pawar</v>
      </c>
      <c r="I66" s="13" t="str">
        <f>VLOOKUP(bookings10[[#This Row],[room_id]],rooms9[[room_id]:[room_type]],3,0)</f>
        <v>Double</v>
      </c>
      <c r="J66" s="13" t="str">
        <f>VLOOKUP(bookings10[[#This Row],[guest_id]],guests8[[guest_id]:[city]],5,0)</f>
        <v>Pune</v>
      </c>
    </row>
    <row r="67" spans="1:10" x14ac:dyDescent="0.3">
      <c r="A67">
        <v>66</v>
      </c>
      <c r="B67">
        <v>66</v>
      </c>
      <c r="C67">
        <v>16</v>
      </c>
      <c r="D67" s="2">
        <v>46377</v>
      </c>
      <c r="E67" s="2">
        <v>46379</v>
      </c>
      <c r="F67" t="s">
        <v>331</v>
      </c>
      <c r="G67" t="str">
        <f>_xlfn.XLOOKUP(C67,Rooms_Clean!$A$2:$A$51,Rooms_Clean!$C$2:$C$51,"Not Found")</f>
        <v>Single</v>
      </c>
      <c r="H67" t="str">
        <f>_xlfn.XLOOKUP(B67,Guests_Clean!$A$2:$A$101,Guests_Clean!$B$2:$B$101)</f>
        <v>Priti Shah</v>
      </c>
      <c r="I67" s="13" t="str">
        <f>VLOOKUP(bookings10[[#This Row],[room_id]],rooms9[[room_id]:[room_type]],3,0)</f>
        <v>Single</v>
      </c>
      <c r="J67" s="13" t="str">
        <f>VLOOKUP(bookings10[[#This Row],[guest_id]],guests8[[guest_id]:[city]],5,0)</f>
        <v>Mumbai</v>
      </c>
    </row>
    <row r="68" spans="1:10" x14ac:dyDescent="0.3">
      <c r="A68">
        <v>67</v>
      </c>
      <c r="B68">
        <v>67</v>
      </c>
      <c r="C68">
        <v>17</v>
      </c>
      <c r="D68" s="2">
        <v>46378</v>
      </c>
      <c r="E68" s="2">
        <v>46381</v>
      </c>
      <c r="F68" t="s">
        <v>331</v>
      </c>
      <c r="G68" t="str">
        <f>_xlfn.XLOOKUP(C68,Rooms_Clean!$A$2:$A$51,Rooms_Clean!$C$2:$C$51,"Not Found")</f>
        <v>Single</v>
      </c>
      <c r="H68" t="str">
        <f>_xlfn.XLOOKUP(B68,Guests_Clean!$A$2:$A$101,Guests_Clean!$B$2:$B$101)</f>
        <v>Mahesh More</v>
      </c>
      <c r="I68" s="13" t="str">
        <f>VLOOKUP(bookings10[[#This Row],[room_id]],rooms9[[room_id]:[room_type]],3,0)</f>
        <v>Single</v>
      </c>
      <c r="J68" s="13" t="str">
        <f>VLOOKUP(bookings10[[#This Row],[guest_id]],guests8[[guest_id]:[city]],5,0)</f>
        <v>Nashik</v>
      </c>
    </row>
    <row r="69" spans="1:10" x14ac:dyDescent="0.3">
      <c r="A69">
        <v>68</v>
      </c>
      <c r="B69">
        <v>68</v>
      </c>
      <c r="C69">
        <v>18</v>
      </c>
      <c r="D69" s="2">
        <v>46379</v>
      </c>
      <c r="E69" s="2">
        <v>46383</v>
      </c>
      <c r="F69" t="s">
        <v>331</v>
      </c>
      <c r="G69" t="str">
        <f>_xlfn.XLOOKUP(C69,Rooms_Clean!$A$2:$A$51,Rooms_Clean!$C$2:$C$51,"Not Found")</f>
        <v>Double</v>
      </c>
      <c r="H69" t="str">
        <f>_xlfn.XLOOKUP(B69,Guests_Clean!$A$2:$A$101,Guests_Clean!$B$2:$B$101)</f>
        <v>Aditi Shinde</v>
      </c>
      <c r="I69" s="13" t="str">
        <f>VLOOKUP(bookings10[[#This Row],[room_id]],rooms9[[room_id]:[room_type]],3,0)</f>
        <v>Double</v>
      </c>
      <c r="J69" s="13" t="str">
        <f>VLOOKUP(bookings10[[#This Row],[guest_id]],guests8[[guest_id]:[city]],5,0)</f>
        <v>Nagpur</v>
      </c>
    </row>
    <row r="70" spans="1:10" x14ac:dyDescent="0.3">
      <c r="A70">
        <v>69</v>
      </c>
      <c r="B70">
        <v>69</v>
      </c>
      <c r="C70">
        <v>19</v>
      </c>
      <c r="D70" s="2">
        <v>46380</v>
      </c>
      <c r="E70" s="2">
        <v>46382</v>
      </c>
      <c r="F70" t="s">
        <v>331</v>
      </c>
      <c r="G70" t="str">
        <f>_xlfn.XLOOKUP(C70,Rooms_Clean!$A$2:$A$51,Rooms_Clean!$C$2:$C$51,"Not Found")</f>
        <v>Double</v>
      </c>
      <c r="H70" t="str">
        <f>_xlfn.XLOOKUP(B70,Guests_Clean!$A$2:$A$101,Guests_Clean!$B$2:$B$101)</f>
        <v>Shubham Jadhav</v>
      </c>
      <c r="I70" s="13" t="str">
        <f>VLOOKUP(bookings10[[#This Row],[room_id]],rooms9[[room_id]:[room_type]],3,0)</f>
        <v>Double</v>
      </c>
      <c r="J70" s="13" t="str">
        <f>VLOOKUP(bookings10[[#This Row],[guest_id]],guests8[[guest_id]:[city]],5,0)</f>
        <v>Pune</v>
      </c>
    </row>
    <row r="71" spans="1:10" x14ac:dyDescent="0.3">
      <c r="A71">
        <v>70</v>
      </c>
      <c r="B71">
        <v>70</v>
      </c>
      <c r="C71">
        <v>20</v>
      </c>
      <c r="D71" s="2">
        <v>46381</v>
      </c>
      <c r="E71" s="2">
        <v>46384</v>
      </c>
      <c r="F71" t="s">
        <v>332</v>
      </c>
      <c r="G71" t="str">
        <f>_xlfn.XLOOKUP(C71,Rooms_Clean!$A$2:$A$51,Rooms_Clean!$C$2:$C$51,"Not Found")</f>
        <v>Deluxe</v>
      </c>
      <c r="H71" t="str">
        <f>_xlfn.XLOOKUP(B71,Guests_Clean!$A$2:$A$101,Guests_Clean!$B$2:$B$101)</f>
        <v>Sonal Sharma</v>
      </c>
      <c r="I71" s="13" t="str">
        <f>VLOOKUP(bookings10[[#This Row],[room_id]],rooms9[[room_id]:[room_type]],3,0)</f>
        <v>Deluxe</v>
      </c>
      <c r="J71" s="13" t="str">
        <f>VLOOKUP(bookings10[[#This Row],[guest_id]],guests8[[guest_id]:[city]],5,0)</f>
        <v>Mumbai</v>
      </c>
    </row>
    <row r="72" spans="1:10" x14ac:dyDescent="0.3">
      <c r="A72">
        <v>71</v>
      </c>
      <c r="B72">
        <v>71</v>
      </c>
      <c r="C72">
        <v>21</v>
      </c>
      <c r="D72" s="2">
        <v>46382</v>
      </c>
      <c r="E72" s="2">
        <v>46386</v>
      </c>
      <c r="F72" t="s">
        <v>330</v>
      </c>
      <c r="G72" t="str">
        <f>_xlfn.XLOOKUP(C72,Rooms_Clean!$A$2:$A$51,Rooms_Clean!$C$2:$C$51,"Not Found")</f>
        <v>Suite</v>
      </c>
      <c r="H72" t="str">
        <f>_xlfn.XLOOKUP(B72,Guests_Clean!$A$2:$A$101,Guests_Clean!$B$2:$B$101)</f>
        <v>Akshay Patil</v>
      </c>
      <c r="I72" s="13" t="str">
        <f>VLOOKUP(bookings10[[#This Row],[room_id]],rooms9[[room_id]:[room_type]],3,0)</f>
        <v>Suite</v>
      </c>
      <c r="J72" s="13" t="str">
        <f>VLOOKUP(bookings10[[#This Row],[guest_id]],guests8[[guest_id]:[city]],5,0)</f>
        <v>Nashik</v>
      </c>
    </row>
    <row r="73" spans="1:10" x14ac:dyDescent="0.3">
      <c r="A73">
        <v>72</v>
      </c>
      <c r="B73">
        <v>72</v>
      </c>
      <c r="C73">
        <v>22</v>
      </c>
      <c r="D73" s="2">
        <v>46383</v>
      </c>
      <c r="E73" s="2">
        <v>46385</v>
      </c>
      <c r="F73" t="s">
        <v>331</v>
      </c>
      <c r="G73" t="str">
        <f>_xlfn.XLOOKUP(C73,Rooms_Clean!$A$2:$A$51,Rooms_Clean!$C$2:$C$51,"Not Found")</f>
        <v>Single</v>
      </c>
      <c r="H73" t="str">
        <f>_xlfn.XLOOKUP(B73,Guests_Clean!$A$2:$A$101,Guests_Clean!$B$2:$B$101)</f>
        <v>Poonam Joshi</v>
      </c>
      <c r="I73" s="13" t="str">
        <f>VLOOKUP(bookings10[[#This Row],[room_id]],rooms9[[room_id]:[room_type]],3,0)</f>
        <v>Single</v>
      </c>
      <c r="J73" s="13" t="str">
        <f>VLOOKUP(bookings10[[#This Row],[guest_id]],guests8[[guest_id]:[city]],5,0)</f>
        <v>Nagpur</v>
      </c>
    </row>
    <row r="74" spans="1:10" x14ac:dyDescent="0.3">
      <c r="A74">
        <v>73</v>
      </c>
      <c r="B74">
        <v>73</v>
      </c>
      <c r="C74">
        <v>23</v>
      </c>
      <c r="D74" s="2">
        <v>46384</v>
      </c>
      <c r="E74" s="2">
        <v>46387</v>
      </c>
      <c r="F74" t="s">
        <v>331</v>
      </c>
      <c r="G74" t="str">
        <f>_xlfn.XLOOKUP(C74,Rooms_Clean!$A$2:$A$51,Rooms_Clean!$C$2:$C$51,"Not Found")</f>
        <v>Double</v>
      </c>
      <c r="H74" t="str">
        <f>_xlfn.XLOOKUP(B74,Guests_Clean!$A$2:$A$101,Guests_Clean!$B$2:$B$101)</f>
        <v>Siddharth Kulkarni</v>
      </c>
      <c r="I74" s="13" t="str">
        <f>VLOOKUP(bookings10[[#This Row],[room_id]],rooms9[[room_id]:[room_type]],3,0)</f>
        <v>Double</v>
      </c>
      <c r="J74" s="13" t="str">
        <f>VLOOKUP(bookings10[[#This Row],[guest_id]],guests8[[guest_id]:[city]],5,0)</f>
        <v>Pune</v>
      </c>
    </row>
    <row r="75" spans="1:10" x14ac:dyDescent="0.3">
      <c r="A75">
        <v>74</v>
      </c>
      <c r="B75">
        <v>74</v>
      </c>
      <c r="C75">
        <v>24</v>
      </c>
      <c r="D75" s="2">
        <v>46385</v>
      </c>
      <c r="E75" s="2">
        <v>46389</v>
      </c>
      <c r="F75" t="s">
        <v>331</v>
      </c>
      <c r="G75" t="str">
        <f>_xlfn.XLOOKUP(C75,Rooms_Clean!$A$2:$A$51,Rooms_Clean!$C$2:$C$51,"Not Found")</f>
        <v>Deluxe</v>
      </c>
      <c r="H75" t="str">
        <f>_xlfn.XLOOKUP(B75,Guests_Clean!$A$2:$A$101,Guests_Clean!$B$2:$B$101)</f>
        <v>Ketaki More</v>
      </c>
      <c r="I75" s="13" t="str">
        <f>VLOOKUP(bookings10[[#This Row],[room_id]],rooms9[[room_id]:[room_type]],3,0)</f>
        <v>Deluxe</v>
      </c>
      <c r="J75" s="13" t="str">
        <f>VLOOKUP(bookings10[[#This Row],[guest_id]],guests8[[guest_id]:[city]],5,0)</f>
        <v>Mumbai</v>
      </c>
    </row>
    <row r="76" spans="1:10" x14ac:dyDescent="0.3">
      <c r="A76">
        <v>75</v>
      </c>
      <c r="B76">
        <v>75</v>
      </c>
      <c r="C76">
        <v>25</v>
      </c>
      <c r="D76" s="2">
        <v>46386</v>
      </c>
      <c r="E76" s="2">
        <v>46388</v>
      </c>
      <c r="F76" t="s">
        <v>331</v>
      </c>
      <c r="G76" t="str">
        <f>_xlfn.XLOOKUP(C76,Rooms_Clean!$A$2:$A$51,Rooms_Clean!$C$2:$C$51,"Not Found")</f>
        <v>Suite</v>
      </c>
      <c r="H76" t="str">
        <f>_xlfn.XLOOKUP(B76,Guests_Clean!$A$2:$A$101,Guests_Clean!$B$2:$B$101)</f>
        <v>Ramesh Shinde</v>
      </c>
      <c r="I76" s="13" t="str">
        <f>VLOOKUP(bookings10[[#This Row],[room_id]],rooms9[[room_id]:[room_type]],3,0)</f>
        <v>Suite</v>
      </c>
      <c r="J76" s="13" t="str">
        <f>VLOOKUP(bookings10[[#This Row],[guest_id]],guests8[[guest_id]:[city]],5,0)</f>
        <v>Nashik</v>
      </c>
    </row>
    <row r="77" spans="1:10" x14ac:dyDescent="0.3">
      <c r="A77">
        <v>76</v>
      </c>
      <c r="B77">
        <v>76</v>
      </c>
      <c r="C77">
        <v>26</v>
      </c>
      <c r="D77" s="2">
        <v>46387</v>
      </c>
      <c r="E77" s="2">
        <v>46390</v>
      </c>
      <c r="F77" t="s">
        <v>331</v>
      </c>
      <c r="G77" t="str">
        <f>_xlfn.XLOOKUP(C77,Rooms_Clean!$A$2:$A$51,Rooms_Clean!$C$2:$C$51,"Not Found")</f>
        <v>Single</v>
      </c>
      <c r="H77" t="str">
        <f>_xlfn.XLOOKUP(B77,Guests_Clean!$A$2:$A$101,Guests_Clean!$B$2:$B$101)</f>
        <v>Nupur Pawar</v>
      </c>
      <c r="I77" s="13" t="str">
        <f>VLOOKUP(bookings10[[#This Row],[room_id]],rooms9[[room_id]:[room_type]],3,0)</f>
        <v>Single</v>
      </c>
      <c r="J77" s="13" t="str">
        <f>VLOOKUP(bookings10[[#This Row],[guest_id]],guests8[[guest_id]:[city]],5,0)</f>
        <v>Nagpur</v>
      </c>
    </row>
    <row r="78" spans="1:10" x14ac:dyDescent="0.3">
      <c r="A78">
        <v>77</v>
      </c>
      <c r="B78">
        <v>77</v>
      </c>
      <c r="C78">
        <v>27</v>
      </c>
      <c r="D78" s="2">
        <v>46388</v>
      </c>
      <c r="E78" s="2">
        <v>46392</v>
      </c>
      <c r="F78" t="s">
        <v>331</v>
      </c>
      <c r="G78" t="str">
        <f>_xlfn.XLOOKUP(C78,Rooms_Clean!$A$2:$A$51,Rooms_Clean!$C$2:$C$51,"Not Found")</f>
        <v>Double</v>
      </c>
      <c r="H78" t="str">
        <f>_xlfn.XLOOKUP(B78,Guests_Clean!$A$2:$A$101,Guests_Clean!$B$2:$B$101)</f>
        <v>Pranav Shah</v>
      </c>
      <c r="I78" s="13" t="str">
        <f>VLOOKUP(bookings10[[#This Row],[room_id]],rooms9[[room_id]:[room_type]],3,0)</f>
        <v>Double</v>
      </c>
      <c r="J78" s="13" t="str">
        <f>VLOOKUP(bookings10[[#This Row],[guest_id]],guests8[[guest_id]:[city]],5,0)</f>
        <v>Pune</v>
      </c>
    </row>
    <row r="79" spans="1:10" x14ac:dyDescent="0.3">
      <c r="A79">
        <v>78</v>
      </c>
      <c r="B79">
        <v>78</v>
      </c>
      <c r="C79">
        <v>28</v>
      </c>
      <c r="D79" s="2">
        <v>46389</v>
      </c>
      <c r="E79" s="2">
        <v>46391</v>
      </c>
      <c r="F79" t="s">
        <v>331</v>
      </c>
      <c r="G79" t="str">
        <f>_xlfn.XLOOKUP(C79,Rooms_Clean!$A$2:$A$51,Rooms_Clean!$C$2:$C$51,"Not Found")</f>
        <v>Deluxe</v>
      </c>
      <c r="H79" t="str">
        <f>_xlfn.XLOOKUP(B79,Guests_Clean!$A$2:$A$101,Guests_Clean!$B$2:$B$101)</f>
        <v>Mitali Jadhav</v>
      </c>
      <c r="I79" s="13" t="str">
        <f>VLOOKUP(bookings10[[#This Row],[room_id]],rooms9[[room_id]:[room_type]],3,0)</f>
        <v>Deluxe</v>
      </c>
      <c r="J79" s="13" t="str">
        <f>VLOOKUP(bookings10[[#This Row],[guest_id]],guests8[[guest_id]:[city]],5,0)</f>
        <v>Mumbai</v>
      </c>
    </row>
    <row r="80" spans="1:10" x14ac:dyDescent="0.3">
      <c r="A80">
        <v>79</v>
      </c>
      <c r="B80">
        <v>79</v>
      </c>
      <c r="C80">
        <v>29</v>
      </c>
      <c r="D80" s="2">
        <v>46390</v>
      </c>
      <c r="E80" s="2">
        <v>46393</v>
      </c>
      <c r="F80" t="s">
        <v>331</v>
      </c>
      <c r="G80" t="str">
        <f>_xlfn.XLOOKUP(C80,Rooms_Clean!$A$2:$A$51,Rooms_Clean!$C$2:$C$51,"Not Found")</f>
        <v>Suite</v>
      </c>
      <c r="H80" t="str">
        <f>_xlfn.XLOOKUP(B80,Guests_Clean!$A$2:$A$101,Guests_Clean!$B$2:$B$101)</f>
        <v>Amol Deshmukh</v>
      </c>
      <c r="I80" s="13" t="str">
        <f>VLOOKUP(bookings10[[#This Row],[room_id]],rooms9[[room_id]:[room_type]],3,0)</f>
        <v>Suite</v>
      </c>
      <c r="J80" s="13" t="str">
        <f>VLOOKUP(bookings10[[#This Row],[guest_id]],guests8[[guest_id]:[city]],5,0)</f>
        <v>Nashik</v>
      </c>
    </row>
    <row r="81" spans="1:10" x14ac:dyDescent="0.3">
      <c r="A81">
        <v>80</v>
      </c>
      <c r="B81">
        <v>80</v>
      </c>
      <c r="C81">
        <v>30</v>
      </c>
      <c r="D81" s="2">
        <v>46391</v>
      </c>
      <c r="E81" s="2">
        <v>46395</v>
      </c>
      <c r="F81" t="s">
        <v>332</v>
      </c>
      <c r="G81" t="str">
        <f>_xlfn.XLOOKUP(C81,Rooms_Clean!$A$2:$A$51,Rooms_Clean!$C$2:$C$51,"Not Found")</f>
        <v>Single</v>
      </c>
      <c r="H81" t="str">
        <f>_xlfn.XLOOKUP(B81,Guests_Clean!$A$2:$A$101,Guests_Clean!$B$2:$B$101)</f>
        <v>Deepa Sharma</v>
      </c>
      <c r="I81" s="13" t="str">
        <f>VLOOKUP(bookings10[[#This Row],[room_id]],rooms9[[room_id]:[room_type]],3,0)</f>
        <v>Single</v>
      </c>
      <c r="J81" s="13" t="str">
        <f>VLOOKUP(bookings10[[#This Row],[guest_id]],guests8[[guest_id]:[city]],5,0)</f>
        <v>Nagpur</v>
      </c>
    </row>
    <row r="82" spans="1:10" x14ac:dyDescent="0.3">
      <c r="A82">
        <v>81</v>
      </c>
      <c r="B82">
        <v>81</v>
      </c>
      <c r="C82">
        <v>31</v>
      </c>
      <c r="D82" s="2">
        <v>46392</v>
      </c>
      <c r="E82" s="2">
        <v>46394</v>
      </c>
      <c r="F82" t="s">
        <v>330</v>
      </c>
      <c r="G82" t="str">
        <f>_xlfn.XLOOKUP(C82,Rooms_Clean!$A$2:$A$51,Rooms_Clean!$C$2:$C$51,"Not Found")</f>
        <v>Double</v>
      </c>
      <c r="H82" t="str">
        <f>_xlfn.XLOOKUP(B82,Guests_Clean!$A$2:$A$101,Guests_Clean!$B$2:$B$101)</f>
        <v>Pratiksha Patil</v>
      </c>
      <c r="I82" s="13" t="str">
        <f>VLOOKUP(bookings10[[#This Row],[room_id]],rooms9[[room_id]:[room_type]],3,0)</f>
        <v>Double</v>
      </c>
      <c r="J82" s="13" t="str">
        <f>VLOOKUP(bookings10[[#This Row],[guest_id]],guests8[[guest_id]:[city]],5,0)</f>
        <v>Pune</v>
      </c>
    </row>
    <row r="83" spans="1:10" x14ac:dyDescent="0.3">
      <c r="A83">
        <v>82</v>
      </c>
      <c r="B83">
        <v>82</v>
      </c>
      <c r="C83">
        <v>32</v>
      </c>
      <c r="D83" s="2">
        <v>46393</v>
      </c>
      <c r="E83" s="2">
        <v>46396</v>
      </c>
      <c r="F83" t="s">
        <v>331</v>
      </c>
      <c r="G83" t="str">
        <f>_xlfn.XLOOKUP(C83,Rooms_Clean!$A$2:$A$51,Rooms_Clean!$C$2:$C$51,"Not Found")</f>
        <v>Deluxe</v>
      </c>
      <c r="H83" t="str">
        <f>_xlfn.XLOOKUP(B83,Guests_Clean!$A$2:$A$101,Guests_Clean!$B$2:$B$101)</f>
        <v>Saurabh Joshi</v>
      </c>
      <c r="I83" s="13" t="str">
        <f>VLOOKUP(bookings10[[#This Row],[room_id]],rooms9[[room_id]:[room_type]],3,0)</f>
        <v>Deluxe</v>
      </c>
      <c r="J83" s="13" t="str">
        <f>VLOOKUP(bookings10[[#This Row],[guest_id]],guests8[[guest_id]:[city]],5,0)</f>
        <v>Mumbai</v>
      </c>
    </row>
    <row r="84" spans="1:10" x14ac:dyDescent="0.3">
      <c r="A84">
        <v>83</v>
      </c>
      <c r="B84">
        <v>83</v>
      </c>
      <c r="C84">
        <v>33</v>
      </c>
      <c r="D84" s="2">
        <v>46394</v>
      </c>
      <c r="E84" s="2">
        <v>46398</v>
      </c>
      <c r="F84" t="s">
        <v>331</v>
      </c>
      <c r="G84" t="str">
        <f>_xlfn.XLOOKUP(C84,Rooms_Clean!$A$2:$A$51,Rooms_Clean!$C$2:$C$51,"Not Found")</f>
        <v>Suite</v>
      </c>
      <c r="H84" t="str">
        <f>_xlfn.XLOOKUP(B84,Guests_Clean!$A$2:$A$101,Guests_Clean!$B$2:$B$101)</f>
        <v>Vaishnavi More</v>
      </c>
      <c r="I84" s="13" t="str">
        <f>VLOOKUP(bookings10[[#This Row],[room_id]],rooms9[[room_id]:[room_type]],3,0)</f>
        <v>Suite</v>
      </c>
      <c r="J84" s="13" t="str">
        <f>VLOOKUP(bookings10[[#This Row],[guest_id]],guests8[[guest_id]:[city]],5,0)</f>
        <v>Nashik</v>
      </c>
    </row>
    <row r="85" spans="1:10" x14ac:dyDescent="0.3">
      <c r="A85">
        <v>84</v>
      </c>
      <c r="B85">
        <v>84</v>
      </c>
      <c r="C85">
        <v>34</v>
      </c>
      <c r="D85" s="2">
        <v>46395</v>
      </c>
      <c r="E85" s="2">
        <v>46397</v>
      </c>
      <c r="F85" t="s">
        <v>331</v>
      </c>
      <c r="G85" t="str">
        <f>_xlfn.XLOOKUP(C85,Rooms_Clean!$A$2:$A$51,Rooms_Clean!$C$2:$C$51,"Not Found")</f>
        <v>Single</v>
      </c>
      <c r="H85" t="str">
        <f>_xlfn.XLOOKUP(B85,Guests_Clean!$A$2:$A$101,Guests_Clean!$B$2:$B$101)</f>
        <v>Mandar Kulkarni</v>
      </c>
      <c r="I85" s="13" t="str">
        <f>VLOOKUP(bookings10[[#This Row],[room_id]],rooms9[[room_id]:[room_type]],3,0)</f>
        <v>Single</v>
      </c>
      <c r="J85" s="13" t="str">
        <f>VLOOKUP(bookings10[[#This Row],[guest_id]],guests8[[guest_id]:[city]],5,0)</f>
        <v>Nagpur</v>
      </c>
    </row>
    <row r="86" spans="1:10" x14ac:dyDescent="0.3">
      <c r="A86">
        <v>85</v>
      </c>
      <c r="B86">
        <v>85</v>
      </c>
      <c r="C86">
        <v>35</v>
      </c>
      <c r="D86" s="2">
        <v>46396</v>
      </c>
      <c r="E86" s="2">
        <v>46399</v>
      </c>
      <c r="F86" t="s">
        <v>331</v>
      </c>
      <c r="G86" t="str">
        <f>_xlfn.XLOOKUP(C86,Rooms_Clean!$A$2:$A$51,Rooms_Clean!$C$2:$C$51,"Not Found")</f>
        <v>Double</v>
      </c>
      <c r="H86" t="str">
        <f>_xlfn.XLOOKUP(B86,Guests_Clean!$A$2:$A$101,Guests_Clean!$B$2:$B$101)</f>
        <v>Rashmi Shah</v>
      </c>
      <c r="I86" s="13" t="str">
        <f>VLOOKUP(bookings10[[#This Row],[room_id]],rooms9[[room_id]:[room_type]],3,0)</f>
        <v>Double</v>
      </c>
      <c r="J86" s="13" t="str">
        <f>VLOOKUP(bookings10[[#This Row],[guest_id]],guests8[[guest_id]:[city]],5,0)</f>
        <v>Pune</v>
      </c>
    </row>
    <row r="87" spans="1:10" x14ac:dyDescent="0.3">
      <c r="A87">
        <v>86</v>
      </c>
      <c r="B87">
        <v>86</v>
      </c>
      <c r="C87">
        <v>36</v>
      </c>
      <c r="D87" s="2">
        <v>46397</v>
      </c>
      <c r="E87" s="2">
        <v>46401</v>
      </c>
      <c r="F87" t="s">
        <v>331</v>
      </c>
      <c r="G87" t="str">
        <f>_xlfn.XLOOKUP(C87,Rooms_Clean!$A$2:$A$51,Rooms_Clean!$C$2:$C$51,"Not Found")</f>
        <v>Deluxe</v>
      </c>
      <c r="H87" t="str">
        <f>_xlfn.XLOOKUP(B87,Guests_Clean!$A$2:$A$101,Guests_Clean!$B$2:$B$101)</f>
        <v>Girish Pawar</v>
      </c>
      <c r="I87" s="13" t="str">
        <f>VLOOKUP(bookings10[[#This Row],[room_id]],rooms9[[room_id]:[room_type]],3,0)</f>
        <v>Deluxe</v>
      </c>
      <c r="J87" s="13" t="str">
        <f>VLOOKUP(bookings10[[#This Row],[guest_id]],guests8[[guest_id]:[city]],5,0)</f>
        <v>Mumbai</v>
      </c>
    </row>
    <row r="88" spans="1:10" x14ac:dyDescent="0.3">
      <c r="A88">
        <v>87</v>
      </c>
      <c r="B88">
        <v>87</v>
      </c>
      <c r="C88">
        <v>37</v>
      </c>
      <c r="D88" s="2">
        <v>46398</v>
      </c>
      <c r="E88" s="2">
        <v>46400</v>
      </c>
      <c r="F88" t="s">
        <v>331</v>
      </c>
      <c r="G88" t="str">
        <f>_xlfn.XLOOKUP(C88,Rooms_Clean!$A$2:$A$51,Rooms_Clean!$C$2:$C$51,"Not Found")</f>
        <v>Suite</v>
      </c>
      <c r="H88" t="str">
        <f>_xlfn.XLOOKUP(B88,Guests_Clean!$A$2:$A$101,Guests_Clean!$B$2:$B$101)</f>
        <v>Pooja Shinde</v>
      </c>
      <c r="I88" s="13" t="str">
        <f>VLOOKUP(bookings10[[#This Row],[room_id]],rooms9[[room_id]:[room_type]],3,0)</f>
        <v>Suite</v>
      </c>
      <c r="J88" s="13" t="str">
        <f>VLOOKUP(bookings10[[#This Row],[guest_id]],guests8[[guest_id]:[city]],5,0)</f>
        <v>Nashik</v>
      </c>
    </row>
    <row r="89" spans="1:10" x14ac:dyDescent="0.3">
      <c r="A89">
        <v>88</v>
      </c>
      <c r="B89">
        <v>88</v>
      </c>
      <c r="C89">
        <v>38</v>
      </c>
      <c r="D89" s="2">
        <v>46399</v>
      </c>
      <c r="E89" s="2">
        <v>46402</v>
      </c>
      <c r="F89" t="s">
        <v>331</v>
      </c>
      <c r="G89" t="str">
        <f>_xlfn.XLOOKUP(C89,Rooms_Clean!$A$2:$A$51,Rooms_Clean!$C$2:$C$51,"Not Found")</f>
        <v>Single</v>
      </c>
      <c r="H89" t="str">
        <f>_xlfn.XLOOKUP(B89,Guests_Clean!$A$2:$A$101,Guests_Clean!$B$2:$B$101)</f>
        <v>Atharva Jadhav</v>
      </c>
      <c r="I89" s="13" t="str">
        <f>VLOOKUP(bookings10[[#This Row],[room_id]],rooms9[[room_id]:[room_type]],3,0)</f>
        <v>Single</v>
      </c>
      <c r="J89" s="13" t="str">
        <f>VLOOKUP(bookings10[[#This Row],[guest_id]],guests8[[guest_id]:[city]],5,0)</f>
        <v>Nagpur</v>
      </c>
    </row>
    <row r="90" spans="1:10" x14ac:dyDescent="0.3">
      <c r="A90">
        <v>89</v>
      </c>
      <c r="B90">
        <v>89</v>
      </c>
      <c r="C90">
        <v>39</v>
      </c>
      <c r="D90" s="2">
        <v>46400</v>
      </c>
      <c r="E90" s="2">
        <v>46404</v>
      </c>
      <c r="F90" t="s">
        <v>331</v>
      </c>
      <c r="G90" t="str">
        <f>_xlfn.XLOOKUP(C90,Rooms_Clean!$A$2:$A$51,Rooms_Clean!$C$2:$C$51,"Not Found")</f>
        <v>Double</v>
      </c>
      <c r="H90" t="str">
        <f>_xlfn.XLOOKUP(B90,Guests_Clean!$A$2:$A$101,Guests_Clean!$B$2:$B$101)</f>
        <v>Mansi Deshmukh</v>
      </c>
      <c r="I90" s="13" t="str">
        <f>VLOOKUP(bookings10[[#This Row],[room_id]],rooms9[[room_id]:[room_type]],3,0)</f>
        <v>Double</v>
      </c>
      <c r="J90" s="13" t="str">
        <f>VLOOKUP(bookings10[[#This Row],[guest_id]],guests8[[guest_id]:[city]],5,0)</f>
        <v>Pune</v>
      </c>
    </row>
    <row r="91" spans="1:10" x14ac:dyDescent="0.3">
      <c r="A91">
        <v>90</v>
      </c>
      <c r="B91">
        <v>90</v>
      </c>
      <c r="C91">
        <v>40</v>
      </c>
      <c r="D91" s="2">
        <v>46401</v>
      </c>
      <c r="E91" s="2">
        <v>46403</v>
      </c>
      <c r="F91" t="s">
        <v>332</v>
      </c>
      <c r="G91" t="str">
        <f>_xlfn.XLOOKUP(C91,Rooms_Clean!$A$2:$A$51,Rooms_Clean!$C$2:$C$51,"Not Found")</f>
        <v>Deluxe</v>
      </c>
      <c r="H91" t="str">
        <f>_xlfn.XLOOKUP(B91,Guests_Clean!$A$2:$A$101,Guests_Clean!$B$2:$B$101)</f>
        <v>Nilesh Sharma</v>
      </c>
      <c r="I91" s="13" t="str">
        <f>VLOOKUP(bookings10[[#This Row],[room_id]],rooms9[[room_id]:[room_type]],3,0)</f>
        <v>Deluxe</v>
      </c>
      <c r="J91" s="13" t="str">
        <f>VLOOKUP(bookings10[[#This Row],[guest_id]],guests8[[guest_id]:[city]],5,0)</f>
        <v>Mumbai</v>
      </c>
    </row>
    <row r="92" spans="1:10" x14ac:dyDescent="0.3">
      <c r="A92">
        <v>91</v>
      </c>
      <c r="B92">
        <v>91</v>
      </c>
      <c r="C92">
        <v>41</v>
      </c>
      <c r="D92" s="2">
        <v>46402</v>
      </c>
      <c r="E92" s="2">
        <v>46405</v>
      </c>
      <c r="F92" t="s">
        <v>330</v>
      </c>
      <c r="G92" t="str">
        <f>_xlfn.XLOOKUP(C92,Rooms_Clean!$A$2:$A$51,Rooms_Clean!$C$2:$C$51,"Not Found")</f>
        <v>Suite</v>
      </c>
      <c r="H92" t="str">
        <f>_xlfn.XLOOKUP(B92,Guests_Clean!$A$2:$A$101,Guests_Clean!$B$2:$B$101)</f>
        <v>Aniket Patil</v>
      </c>
      <c r="I92" s="13" t="str">
        <f>VLOOKUP(bookings10[[#This Row],[room_id]],rooms9[[room_id]:[room_type]],3,0)</f>
        <v>Suite</v>
      </c>
      <c r="J92" s="13" t="str">
        <f>VLOOKUP(bookings10[[#This Row],[guest_id]],guests8[[guest_id]:[city]],5,0)</f>
        <v>Nashik</v>
      </c>
    </row>
    <row r="93" spans="1:10" x14ac:dyDescent="0.3">
      <c r="A93">
        <v>92</v>
      </c>
      <c r="B93">
        <v>92</v>
      </c>
      <c r="C93">
        <v>42</v>
      </c>
      <c r="D93" s="2">
        <v>46403</v>
      </c>
      <c r="E93" s="2">
        <v>46407</v>
      </c>
      <c r="F93" t="s">
        <v>331</v>
      </c>
      <c r="G93" t="str">
        <f>_xlfn.XLOOKUP(C93,Rooms_Clean!$A$2:$A$51,Rooms_Clean!$C$2:$C$51,"Not Found")</f>
        <v>Single</v>
      </c>
      <c r="H93" t="str">
        <f>_xlfn.XLOOKUP(B93,Guests_Clean!$A$2:$A$101,Guests_Clean!$B$2:$B$101)</f>
        <v>Shweta Kulkarni</v>
      </c>
      <c r="I93" s="13" t="str">
        <f>VLOOKUP(bookings10[[#This Row],[room_id]],rooms9[[room_id]:[room_type]],3,0)</f>
        <v>Single</v>
      </c>
      <c r="J93" s="13" t="str">
        <f>VLOOKUP(bookings10[[#This Row],[guest_id]],guests8[[guest_id]:[city]],5,0)</f>
        <v>Nagpur</v>
      </c>
    </row>
    <row r="94" spans="1:10" x14ac:dyDescent="0.3">
      <c r="A94">
        <v>93</v>
      </c>
      <c r="B94">
        <v>93</v>
      </c>
      <c r="C94">
        <v>43</v>
      </c>
      <c r="D94" s="2">
        <v>46404</v>
      </c>
      <c r="E94" s="2">
        <v>46406</v>
      </c>
      <c r="F94" t="s">
        <v>331</v>
      </c>
      <c r="G94" t="str">
        <f>_xlfn.XLOOKUP(C94,Rooms_Clean!$A$2:$A$51,Rooms_Clean!$C$2:$C$51,"Not Found")</f>
        <v>Double</v>
      </c>
      <c r="H94" t="str">
        <f>_xlfn.XLOOKUP(B94,Guests_Clean!$A$2:$A$101,Guests_Clean!$B$2:$B$101)</f>
        <v>Rohan Joshi</v>
      </c>
      <c r="I94" s="13" t="str">
        <f>VLOOKUP(bookings10[[#This Row],[room_id]],rooms9[[room_id]:[room_type]],3,0)</f>
        <v>Double</v>
      </c>
      <c r="J94" s="13" t="str">
        <f>VLOOKUP(bookings10[[#This Row],[guest_id]],guests8[[guest_id]:[city]],5,0)</f>
        <v>Pune</v>
      </c>
    </row>
    <row r="95" spans="1:10" x14ac:dyDescent="0.3">
      <c r="A95">
        <v>94</v>
      </c>
      <c r="B95">
        <v>94</v>
      </c>
      <c r="C95">
        <v>44</v>
      </c>
      <c r="D95" s="2">
        <v>46405</v>
      </c>
      <c r="E95" s="2">
        <v>46408</v>
      </c>
      <c r="F95" t="s">
        <v>331</v>
      </c>
      <c r="G95" t="str">
        <f>_xlfn.XLOOKUP(C95,Rooms_Clean!$A$2:$A$51,Rooms_Clean!$C$2:$C$51,"Not Found")</f>
        <v>Deluxe</v>
      </c>
      <c r="H95" t="str">
        <f>_xlfn.XLOOKUP(B95,Guests_Clean!$A$2:$A$101,Guests_Clean!$B$2:$B$101)</f>
        <v>Priti Deshmukh</v>
      </c>
      <c r="I95" s="13" t="str">
        <f>VLOOKUP(bookings10[[#This Row],[room_id]],rooms9[[room_id]:[room_type]],3,0)</f>
        <v>Deluxe</v>
      </c>
      <c r="J95" s="13" t="str">
        <f>VLOOKUP(bookings10[[#This Row],[guest_id]],guests8[[guest_id]:[city]],5,0)</f>
        <v>Mumbai</v>
      </c>
    </row>
    <row r="96" spans="1:10" x14ac:dyDescent="0.3">
      <c r="A96">
        <v>95</v>
      </c>
      <c r="B96">
        <v>95</v>
      </c>
      <c r="C96">
        <v>45</v>
      </c>
      <c r="D96" s="2">
        <v>46406</v>
      </c>
      <c r="E96" s="2">
        <v>46410</v>
      </c>
      <c r="F96" t="s">
        <v>331</v>
      </c>
      <c r="G96" t="str">
        <f>_xlfn.XLOOKUP(C96,Rooms_Clean!$A$2:$A$51,Rooms_Clean!$C$2:$C$51,"Not Found")</f>
        <v>Suite</v>
      </c>
      <c r="H96" t="str">
        <f>_xlfn.XLOOKUP(B96,Guests_Clean!$A$2:$A$101,Guests_Clean!$B$2:$B$101)</f>
        <v>Nikhil Pawar</v>
      </c>
      <c r="I96" s="13" t="str">
        <f>VLOOKUP(bookings10[[#This Row],[room_id]],rooms9[[room_id]:[room_type]],3,0)</f>
        <v>Suite</v>
      </c>
      <c r="J96" s="13" t="str">
        <f>VLOOKUP(bookings10[[#This Row],[guest_id]],guests8[[guest_id]:[city]],5,0)</f>
        <v>Nashik</v>
      </c>
    </row>
    <row r="97" spans="1:10" x14ac:dyDescent="0.3">
      <c r="A97">
        <v>96</v>
      </c>
      <c r="B97">
        <v>96</v>
      </c>
      <c r="C97">
        <v>46</v>
      </c>
      <c r="D97" s="2">
        <v>46407</v>
      </c>
      <c r="E97" s="2">
        <v>46409</v>
      </c>
      <c r="F97" t="s">
        <v>331</v>
      </c>
      <c r="G97" t="str">
        <f>_xlfn.XLOOKUP(C97,Rooms_Clean!$A$2:$A$51,Rooms_Clean!$C$2:$C$51,"Not Found")</f>
        <v>Single</v>
      </c>
      <c r="H97" t="str">
        <f>_xlfn.XLOOKUP(B97,Guests_Clean!$A$2:$A$101,Guests_Clean!$B$2:$B$101)</f>
        <v>Sakshi Shah</v>
      </c>
      <c r="I97" s="13" t="str">
        <f>VLOOKUP(bookings10[[#This Row],[room_id]],rooms9[[room_id]:[room_type]],3,0)</f>
        <v>Single</v>
      </c>
      <c r="J97" s="13" t="str">
        <f>VLOOKUP(bookings10[[#This Row],[guest_id]],guests8[[guest_id]:[city]],5,0)</f>
        <v>Nagpur</v>
      </c>
    </row>
    <row r="98" spans="1:10" x14ac:dyDescent="0.3">
      <c r="A98">
        <v>97</v>
      </c>
      <c r="B98">
        <v>97</v>
      </c>
      <c r="C98">
        <v>47</v>
      </c>
      <c r="D98" s="2">
        <v>46408</v>
      </c>
      <c r="E98" s="2">
        <v>46411</v>
      </c>
      <c r="F98" t="s">
        <v>331</v>
      </c>
      <c r="G98" t="str">
        <f>_xlfn.XLOOKUP(C98,Rooms_Clean!$A$2:$A$51,Rooms_Clean!$C$2:$C$51,"Not Found")</f>
        <v>Double</v>
      </c>
      <c r="H98" t="str">
        <f>_xlfn.XLOOKUP(B98,Guests_Clean!$A$2:$A$101,Guests_Clean!$B$2:$B$101)</f>
        <v>Tushar More</v>
      </c>
      <c r="I98" s="13" t="str">
        <f>VLOOKUP(bookings10[[#This Row],[room_id]],rooms9[[room_id]:[room_type]],3,0)</f>
        <v>Double</v>
      </c>
      <c r="J98" s="13" t="str">
        <f>VLOOKUP(bookings10[[#This Row],[guest_id]],guests8[[guest_id]:[city]],5,0)</f>
        <v>Pune</v>
      </c>
    </row>
    <row r="99" spans="1:10" x14ac:dyDescent="0.3">
      <c r="A99">
        <v>98</v>
      </c>
      <c r="B99">
        <v>98</v>
      </c>
      <c r="C99">
        <v>48</v>
      </c>
      <c r="D99" s="2">
        <v>46409</v>
      </c>
      <c r="E99" s="2">
        <v>46413</v>
      </c>
      <c r="F99" t="s">
        <v>331</v>
      </c>
      <c r="G99" t="str">
        <f>_xlfn.XLOOKUP(C99,Rooms_Clean!$A$2:$A$51,Rooms_Clean!$C$2:$C$51,"Not Found")</f>
        <v>Deluxe</v>
      </c>
      <c r="H99" t="str">
        <f>_xlfn.XLOOKUP(B99,Guests_Clean!$A$2:$A$101,Guests_Clean!$B$2:$B$101)</f>
        <v>Revati Shinde</v>
      </c>
      <c r="I99" s="13" t="str">
        <f>VLOOKUP(bookings10[[#This Row],[room_id]],rooms9[[room_id]:[room_type]],3,0)</f>
        <v>Deluxe</v>
      </c>
      <c r="J99" s="13" t="str">
        <f>VLOOKUP(bookings10[[#This Row],[guest_id]],guests8[[guest_id]:[city]],5,0)</f>
        <v>Mumbai</v>
      </c>
    </row>
    <row r="100" spans="1:10" x14ac:dyDescent="0.3">
      <c r="A100">
        <v>99</v>
      </c>
      <c r="B100">
        <v>99</v>
      </c>
      <c r="C100">
        <v>49</v>
      </c>
      <c r="D100" s="2">
        <v>46410</v>
      </c>
      <c r="E100" s="2">
        <v>46412</v>
      </c>
      <c r="F100" t="s">
        <v>331</v>
      </c>
      <c r="G100" t="str">
        <f>_xlfn.XLOOKUP(C100,Rooms_Clean!$A$2:$A$51,Rooms_Clean!$C$2:$C$51,"Not Found")</f>
        <v>Suite</v>
      </c>
      <c r="H100" t="str">
        <f>_xlfn.XLOOKUP(B100,Guests_Clean!$A$2:$A$101,Guests_Clean!$B$2:$B$101)</f>
        <v>Sahil Jadhav</v>
      </c>
      <c r="I100" s="13" t="str">
        <f>VLOOKUP(bookings10[[#This Row],[room_id]],rooms9[[room_id]:[room_type]],3,0)</f>
        <v>Suite</v>
      </c>
      <c r="J100" s="13" t="str">
        <f>VLOOKUP(bookings10[[#This Row],[guest_id]],guests8[[guest_id]:[city]],5,0)</f>
        <v>Nashik</v>
      </c>
    </row>
    <row r="101" spans="1:10" x14ac:dyDescent="0.3">
      <c r="A101">
        <v>100</v>
      </c>
      <c r="B101">
        <v>100</v>
      </c>
      <c r="C101">
        <v>50</v>
      </c>
      <c r="D101" s="2">
        <v>46411</v>
      </c>
      <c r="E101" s="2">
        <v>46414</v>
      </c>
      <c r="F101" t="s">
        <v>332</v>
      </c>
      <c r="G101" t="str">
        <f>_xlfn.XLOOKUP(C101,Rooms_Clean!$A$2:$A$51,Rooms_Clean!$C$2:$C$51,"Not Found")</f>
        <v>Double</v>
      </c>
      <c r="H101" t="str">
        <f>_xlfn.XLOOKUP(B101,Guests_Clean!$A$2:$A$101,Guests_Clean!$B$2:$B$101)</f>
        <v>Manisha Sharma</v>
      </c>
      <c r="I101" s="13" t="str">
        <f>VLOOKUP(bookings10[[#This Row],[room_id]],rooms9[[room_id]:[room_type]],3,0)</f>
        <v>Double</v>
      </c>
      <c r="J101" s="13" t="str">
        <f>VLOOKUP(bookings10[[#This Row],[guest_id]],guests8[[guest_id]:[city]],5,0)</f>
        <v>Nagpur</v>
      </c>
    </row>
    <row r="102" spans="1:10" x14ac:dyDescent="0.3">
      <c r="A102">
        <v>101</v>
      </c>
      <c r="B102">
        <v>1</v>
      </c>
      <c r="C102">
        <v>1</v>
      </c>
      <c r="D102" s="2">
        <v>46412</v>
      </c>
      <c r="E102" s="2">
        <v>46416</v>
      </c>
      <c r="F102" t="s">
        <v>330</v>
      </c>
      <c r="G102" t="str">
        <f>_xlfn.XLOOKUP(C102,Rooms_Clean!$A$2:$A$51,Rooms_Clean!$C$2:$C$51,"Not Found")</f>
        <v>Single</v>
      </c>
      <c r="H102" t="str">
        <f>_xlfn.XLOOKUP(B102,Guests_Clean!$A$2:$A$101,Guests_Clean!$B$2:$B$101)</f>
        <v>Rakesh Bhosle</v>
      </c>
      <c r="I102" s="13" t="str">
        <f>VLOOKUP(bookings10[[#This Row],[room_id]],rooms9[[room_id]:[room_type]],3,0)</f>
        <v>Single</v>
      </c>
      <c r="J102" s="13" t="str">
        <f>VLOOKUP(bookings10[[#This Row],[guest_id]],guests8[[guest_id]:[city]],5,0)</f>
        <v>pune</v>
      </c>
    </row>
    <row r="103" spans="1:10" x14ac:dyDescent="0.3">
      <c r="A103">
        <v>102</v>
      </c>
      <c r="B103">
        <v>2</v>
      </c>
      <c r="C103">
        <v>2</v>
      </c>
      <c r="D103" s="2">
        <v>46413</v>
      </c>
      <c r="E103" s="2">
        <v>46415</v>
      </c>
      <c r="F103" t="s">
        <v>331</v>
      </c>
      <c r="G103" t="str">
        <f>_xlfn.XLOOKUP(C103,Rooms_Clean!$A$2:$A$51,Rooms_Clean!$C$2:$C$51,"Not Found")</f>
        <v>Single</v>
      </c>
      <c r="H103" t="str">
        <f>_xlfn.XLOOKUP(B103,Guests_Clean!$A$2:$A$101,Guests_Clean!$B$2:$B$101)</f>
        <v>Priya Sharma</v>
      </c>
      <c r="I103" s="13" t="str">
        <f>VLOOKUP(bookings10[[#This Row],[room_id]],rooms9[[room_id]:[room_type]],3,0)</f>
        <v>Single</v>
      </c>
      <c r="J103" s="13" t="str">
        <f>VLOOKUP(bookings10[[#This Row],[guest_id]],guests8[[guest_id]:[city]],5,0)</f>
        <v>Mumbai</v>
      </c>
    </row>
    <row r="104" spans="1:10" x14ac:dyDescent="0.3">
      <c r="A104">
        <v>103</v>
      </c>
      <c r="B104">
        <v>3</v>
      </c>
      <c r="C104">
        <v>3</v>
      </c>
      <c r="D104" s="2">
        <v>46414</v>
      </c>
      <c r="E104" s="2">
        <v>46417</v>
      </c>
      <c r="F104" t="s">
        <v>331</v>
      </c>
      <c r="G104" t="str">
        <f>_xlfn.XLOOKUP(C104,Rooms_Clean!$A$2:$A$51,Rooms_Clean!$C$2:$C$51,"Not Found")</f>
        <v>Double</v>
      </c>
      <c r="H104" t="str">
        <f>_xlfn.XLOOKUP(B104,Guests_Clean!$A$2:$A$101,Guests_Clean!$B$2:$B$101)</f>
        <v>Amit Patil</v>
      </c>
      <c r="I104" s="13" t="str">
        <f>VLOOKUP(bookings10[[#This Row],[room_id]],rooms9[[room_id]:[room_type]],3,0)</f>
        <v>Double</v>
      </c>
      <c r="J104" s="13" t="str">
        <f>VLOOKUP(bookings10[[#This Row],[guest_id]],guests8[[guest_id]:[city]],5,0)</f>
        <v>Pune</v>
      </c>
    </row>
    <row r="105" spans="1:10" x14ac:dyDescent="0.3">
      <c r="A105">
        <v>104</v>
      </c>
      <c r="B105">
        <v>4</v>
      </c>
      <c r="C105">
        <v>4</v>
      </c>
      <c r="D105" s="2">
        <v>46415</v>
      </c>
      <c r="E105" s="2">
        <v>46419</v>
      </c>
      <c r="F105" t="s">
        <v>331</v>
      </c>
      <c r="G105" t="str">
        <f>_xlfn.XLOOKUP(C105,Rooms_Clean!$A$2:$A$51,Rooms_Clean!$C$2:$C$51,"Not Found")</f>
        <v>Double</v>
      </c>
      <c r="H105" t="str">
        <f>_xlfn.XLOOKUP(B105,Guests_Clean!$A$2:$A$101,Guests_Clean!$B$2:$B$101)</f>
        <v>Sneha Joshi</v>
      </c>
      <c r="I105" s="13" t="str">
        <f>VLOOKUP(bookings10[[#This Row],[room_id]],rooms9[[room_id]:[room_type]],3,0)</f>
        <v>Double</v>
      </c>
      <c r="J105" s="13" t="str">
        <f>VLOOKUP(bookings10[[#This Row],[guest_id]],guests8[[guest_id]:[city]],5,0)</f>
        <v>Nashik</v>
      </c>
    </row>
    <row r="106" spans="1:10" x14ac:dyDescent="0.3">
      <c r="A106">
        <v>105</v>
      </c>
      <c r="B106">
        <v>5</v>
      </c>
      <c r="C106">
        <v>5</v>
      </c>
      <c r="D106" s="2">
        <v>46416</v>
      </c>
      <c r="E106" s="2">
        <v>46418</v>
      </c>
      <c r="F106" t="s">
        <v>331</v>
      </c>
      <c r="G106" t="str">
        <f>_xlfn.XLOOKUP(C106,Rooms_Clean!$A$2:$A$51,Rooms_Clean!$C$2:$C$51,"Not Found")</f>
        <v>Deluxe</v>
      </c>
      <c r="H106" t="str">
        <f>_xlfn.XLOOKUP(B106,Guests_Clean!$A$2:$A$101,Guests_Clean!$B$2:$B$101)</f>
        <v>Rahul Deshmukh</v>
      </c>
      <c r="I106" s="13" t="str">
        <f>VLOOKUP(bookings10[[#This Row],[room_id]],rooms9[[room_id]:[room_type]],3,0)</f>
        <v>Deluxe</v>
      </c>
      <c r="J106" s="13" t="str">
        <f>VLOOKUP(bookings10[[#This Row],[guest_id]],guests8[[guest_id]:[city]],5,0)</f>
        <v>Pune</v>
      </c>
    </row>
    <row r="107" spans="1:10" x14ac:dyDescent="0.3">
      <c r="A107">
        <v>106</v>
      </c>
      <c r="B107">
        <v>6</v>
      </c>
      <c r="C107">
        <v>6</v>
      </c>
      <c r="D107" s="2">
        <v>46417</v>
      </c>
      <c r="E107" s="2">
        <v>46420</v>
      </c>
      <c r="F107" t="s">
        <v>331</v>
      </c>
      <c r="G107" t="str">
        <f>_xlfn.XLOOKUP(C107,Rooms_Clean!$A$2:$A$51,Rooms_Clean!$C$2:$C$51,"Not Found")</f>
        <v>Deluxe</v>
      </c>
      <c r="H107" t="str">
        <f>_xlfn.XLOOKUP(B107,Guests_Clean!$A$2:$A$101,Guests_Clean!$B$2:$B$101)</f>
        <v>Neha Kulkarni</v>
      </c>
      <c r="I107" s="13" t="str">
        <f>VLOOKUP(bookings10[[#This Row],[room_id]],rooms9[[room_id]:[room_type]],3,0)</f>
        <v>Deluxe</v>
      </c>
      <c r="J107" s="13" t="str">
        <f>VLOOKUP(bookings10[[#This Row],[guest_id]],guests8[[guest_id]:[city]],5,0)</f>
        <v>Nagpur</v>
      </c>
    </row>
    <row r="108" spans="1:10" x14ac:dyDescent="0.3">
      <c r="A108">
        <v>107</v>
      </c>
      <c r="B108">
        <v>7</v>
      </c>
      <c r="C108">
        <v>7</v>
      </c>
      <c r="D108" s="2">
        <v>46418</v>
      </c>
      <c r="E108" s="2">
        <v>46422</v>
      </c>
      <c r="F108" t="s">
        <v>331</v>
      </c>
      <c r="G108" t="str">
        <f>_xlfn.XLOOKUP(C108,Rooms_Clean!$A$2:$A$51,Rooms_Clean!$C$2:$C$51,"Not Found")</f>
        <v>Suite</v>
      </c>
      <c r="H108" t="str">
        <f>_xlfn.XLOOKUP(B108,Guests_Clean!$A$2:$A$101,Guests_Clean!$B$2:$B$101)</f>
        <v>Karan Shah</v>
      </c>
      <c r="I108" s="13" t="str">
        <f>VLOOKUP(bookings10[[#This Row],[room_id]],rooms9[[room_id]:[room_type]],3,0)</f>
        <v>Suite</v>
      </c>
      <c r="J108" s="13" t="str">
        <f>VLOOKUP(bookings10[[#This Row],[guest_id]],guests8[[guest_id]:[city]],5,0)</f>
        <v>Mumbai</v>
      </c>
    </row>
    <row r="109" spans="1:10" x14ac:dyDescent="0.3">
      <c r="A109">
        <v>108</v>
      </c>
      <c r="B109">
        <v>8</v>
      </c>
      <c r="C109">
        <v>8</v>
      </c>
      <c r="D109" s="2">
        <v>46419</v>
      </c>
      <c r="E109" s="2">
        <v>46421</v>
      </c>
      <c r="F109" t="s">
        <v>331</v>
      </c>
      <c r="G109" t="str">
        <f>_xlfn.XLOOKUP(C109,Rooms_Clean!$A$2:$A$51,Rooms_Clean!$C$2:$C$51,"Not Found")</f>
        <v>Suite</v>
      </c>
      <c r="H109" t="str">
        <f>_xlfn.XLOOKUP(B109,Guests_Clean!$A$2:$A$101,Guests_Clean!$B$2:$B$101)</f>
        <v>Pooja More</v>
      </c>
      <c r="I109" s="13" t="str">
        <f>VLOOKUP(bookings10[[#This Row],[room_id]],rooms9[[room_id]:[room_type]],3,0)</f>
        <v>Suite</v>
      </c>
      <c r="J109" s="13" t="str">
        <f>VLOOKUP(bookings10[[#This Row],[guest_id]],guests8[[guest_id]:[city]],5,0)</f>
        <v>Kolhapur</v>
      </c>
    </row>
    <row r="110" spans="1:10" x14ac:dyDescent="0.3">
      <c r="A110">
        <v>109</v>
      </c>
      <c r="B110">
        <v>9</v>
      </c>
      <c r="C110">
        <v>9</v>
      </c>
      <c r="D110" s="2">
        <v>46420</v>
      </c>
      <c r="E110" s="2">
        <v>46423</v>
      </c>
      <c r="F110" t="s">
        <v>331</v>
      </c>
      <c r="G110" t="str">
        <f>_xlfn.XLOOKUP(C110,Rooms_Clean!$A$2:$A$51,Rooms_Clean!$C$2:$C$51,"Not Found")</f>
        <v>Double</v>
      </c>
      <c r="H110" t="str">
        <f>_xlfn.XLOOKUP(B110,Guests_Clean!$A$2:$A$101,Guests_Clean!$B$2:$B$101)</f>
        <v>Sahil Pawar</v>
      </c>
      <c r="I110" s="13" t="str">
        <f>VLOOKUP(bookings10[[#This Row],[room_id]],rooms9[[room_id]:[room_type]],3,0)</f>
        <v>Double</v>
      </c>
      <c r="J110" s="13" t="str">
        <f>VLOOKUP(bookings10[[#This Row],[guest_id]],guests8[[guest_id]:[city]],5,0)</f>
        <v>Pune</v>
      </c>
    </row>
    <row r="111" spans="1:10" x14ac:dyDescent="0.3">
      <c r="A111">
        <v>110</v>
      </c>
      <c r="B111">
        <v>10</v>
      </c>
      <c r="C111">
        <v>10</v>
      </c>
      <c r="D111" s="2">
        <v>46421</v>
      </c>
      <c r="E111" s="2">
        <v>46425</v>
      </c>
      <c r="F111" t="s">
        <v>332</v>
      </c>
      <c r="G111" t="str">
        <f>_xlfn.XLOOKUP(C111,Rooms_Clean!$A$2:$A$51,Rooms_Clean!$C$2:$C$51,"Not Found")</f>
        <v>Deluxe</v>
      </c>
      <c r="H111" t="str">
        <f>_xlfn.XLOOKUP(B111,Guests_Clean!$A$2:$A$101,Guests_Clean!$B$2:$B$101)</f>
        <v>Isha Mehta</v>
      </c>
      <c r="I111" s="13" t="str">
        <f>VLOOKUP(bookings10[[#This Row],[room_id]],rooms9[[room_id]:[room_type]],3,0)</f>
        <v>Deluxe</v>
      </c>
      <c r="J111" s="13" t="str">
        <f>VLOOKUP(bookings10[[#This Row],[guest_id]],guests8[[guest_id]:[city]],5,0)</f>
        <v>Nashik</v>
      </c>
    </row>
    <row r="112" spans="1:10" x14ac:dyDescent="0.3">
      <c r="A112">
        <v>111</v>
      </c>
      <c r="B112">
        <v>11</v>
      </c>
      <c r="C112">
        <v>11</v>
      </c>
      <c r="D112" s="2">
        <v>46422</v>
      </c>
      <c r="E112" s="2">
        <v>46424</v>
      </c>
      <c r="F112" t="s">
        <v>330</v>
      </c>
      <c r="G112" t="str">
        <f>_xlfn.XLOOKUP(C112,Rooms_Clean!$A$2:$A$51,Rooms_Clean!$C$2:$C$51,"Not Found")</f>
        <v>Single</v>
      </c>
      <c r="H112" t="str">
        <f>_xlfn.XLOOKUP(B112,Guests_Clean!$A$2:$A$101,Guests_Clean!$B$2:$B$101)</f>
        <v>Aarav Deshmukh</v>
      </c>
      <c r="I112" s="13" t="str">
        <f>VLOOKUP(bookings10[[#This Row],[room_id]],rooms9[[room_id]:[room_type]],3,0)</f>
        <v>Single</v>
      </c>
      <c r="J112" s="13" t="str">
        <f>VLOOKUP(bookings10[[#This Row],[guest_id]],guests8[[guest_id]:[city]],5,0)</f>
        <v>Pune</v>
      </c>
    </row>
    <row r="113" spans="1:10" x14ac:dyDescent="0.3">
      <c r="A113">
        <v>112</v>
      </c>
      <c r="B113">
        <v>12</v>
      </c>
      <c r="C113">
        <v>12</v>
      </c>
      <c r="D113" s="2">
        <v>46423</v>
      </c>
      <c r="E113" s="2">
        <v>46426</v>
      </c>
      <c r="F113" t="s">
        <v>331</v>
      </c>
      <c r="G113" t="str">
        <f>_xlfn.XLOOKUP(C113,Rooms_Clean!$A$2:$A$51,Rooms_Clean!$C$2:$C$51,"Not Found")</f>
        <v>Double</v>
      </c>
      <c r="H113" t="str">
        <f>_xlfn.XLOOKUP(B113,Guests_Clean!$A$2:$A$101,Guests_Clean!$B$2:$B$101)</f>
        <v>Sneha Joshi</v>
      </c>
      <c r="I113" s="13" t="str">
        <f>VLOOKUP(bookings10[[#This Row],[room_id]],rooms9[[room_id]:[room_type]],3,0)</f>
        <v>Double</v>
      </c>
      <c r="J113" s="13" t="str">
        <f>VLOOKUP(bookings10[[#This Row],[guest_id]],guests8[[guest_id]:[city]],5,0)</f>
        <v>Mumbai</v>
      </c>
    </row>
    <row r="114" spans="1:10" x14ac:dyDescent="0.3">
      <c r="A114">
        <v>113</v>
      </c>
      <c r="B114">
        <v>13</v>
      </c>
      <c r="C114">
        <v>13</v>
      </c>
      <c r="D114" s="2">
        <v>46424</v>
      </c>
      <c r="E114" s="2">
        <v>46428</v>
      </c>
      <c r="F114" t="s">
        <v>331</v>
      </c>
      <c r="G114" t="str">
        <f>_xlfn.XLOOKUP(C114,Rooms_Clean!$A$2:$A$51,Rooms_Clean!$C$2:$C$51,"Not Found")</f>
        <v>Deluxe</v>
      </c>
      <c r="H114" t="str">
        <f>_xlfn.XLOOKUP(B114,Guests_Clean!$A$2:$A$101,Guests_Clean!$B$2:$B$101)</f>
        <v>Rohan Patil</v>
      </c>
      <c r="I114" s="13" t="str">
        <f>VLOOKUP(bookings10[[#This Row],[room_id]],rooms9[[room_id]:[room_type]],3,0)</f>
        <v>Deluxe</v>
      </c>
      <c r="J114" s="13" t="str">
        <f>VLOOKUP(bookings10[[#This Row],[guest_id]],guests8[[guest_id]:[city]],5,0)</f>
        <v>Nashik</v>
      </c>
    </row>
    <row r="115" spans="1:10" x14ac:dyDescent="0.3">
      <c r="A115">
        <v>114</v>
      </c>
      <c r="B115">
        <v>14</v>
      </c>
      <c r="C115">
        <v>14</v>
      </c>
      <c r="D115" s="2">
        <v>46425</v>
      </c>
      <c r="E115" s="2">
        <v>46427</v>
      </c>
      <c r="F115" t="s">
        <v>331</v>
      </c>
      <c r="G115" t="str">
        <f>_xlfn.XLOOKUP(C115,Rooms_Clean!$A$2:$A$51,Rooms_Clean!$C$2:$C$51,"Not Found")</f>
        <v>Suite</v>
      </c>
      <c r="H115" t="str">
        <f>_xlfn.XLOOKUP(B115,Guests_Clean!$A$2:$A$101,Guests_Clean!$B$2:$B$101)</f>
        <v>Ananya Shah</v>
      </c>
      <c r="I115" s="13" t="str">
        <f>VLOOKUP(bookings10[[#This Row],[room_id]],rooms9[[room_id]:[room_type]],3,0)</f>
        <v>Suite</v>
      </c>
      <c r="J115" s="13" t="str">
        <f>VLOOKUP(bookings10[[#This Row],[guest_id]],guests8[[guest_id]:[city]],5,0)</f>
        <v>Nagpur</v>
      </c>
    </row>
    <row r="116" spans="1:10" x14ac:dyDescent="0.3">
      <c r="A116">
        <v>115</v>
      </c>
      <c r="B116">
        <v>15</v>
      </c>
      <c r="C116">
        <v>15</v>
      </c>
      <c r="D116" s="2">
        <v>46426</v>
      </c>
      <c r="E116" s="2">
        <v>46429</v>
      </c>
      <c r="F116" t="s">
        <v>331</v>
      </c>
      <c r="G116" t="str">
        <f>_xlfn.XLOOKUP(C116,Rooms_Clean!$A$2:$A$51,Rooms_Clean!$C$2:$C$51,"Not Found")</f>
        <v>Double</v>
      </c>
      <c r="H116" t="str">
        <f>_xlfn.XLOOKUP(B116,Guests_Clean!$A$2:$A$101,Guests_Clean!$B$2:$B$101)</f>
        <v>Vedant Kulkarni</v>
      </c>
      <c r="I116" s="13" t="str">
        <f>VLOOKUP(bookings10[[#This Row],[room_id]],rooms9[[room_id]:[room_type]],3,0)</f>
        <v>Double</v>
      </c>
      <c r="J116" s="13" t="str">
        <f>VLOOKUP(bookings10[[#This Row],[guest_id]],guests8[[guest_id]:[city]],5,0)</f>
        <v>Pune</v>
      </c>
    </row>
    <row r="117" spans="1:10" x14ac:dyDescent="0.3">
      <c r="A117">
        <v>116</v>
      </c>
      <c r="B117">
        <v>16</v>
      </c>
      <c r="C117">
        <v>16</v>
      </c>
      <c r="D117" s="2">
        <v>46427</v>
      </c>
      <c r="E117" s="2">
        <v>46431</v>
      </c>
      <c r="F117" t="s">
        <v>331</v>
      </c>
      <c r="G117" t="str">
        <f>_xlfn.XLOOKUP(C117,Rooms_Clean!$A$2:$A$51,Rooms_Clean!$C$2:$C$51,"Not Found")</f>
        <v>Single</v>
      </c>
      <c r="H117" t="str">
        <f>_xlfn.XLOOKUP(B117,Guests_Clean!$A$2:$A$101,Guests_Clean!$B$2:$B$101)</f>
        <v>Mira Pawar</v>
      </c>
      <c r="I117" s="13" t="str">
        <f>VLOOKUP(bookings10[[#This Row],[room_id]],rooms9[[room_id]:[room_type]],3,0)</f>
        <v>Single</v>
      </c>
      <c r="J117" s="13" t="str">
        <f>VLOOKUP(bookings10[[#This Row],[guest_id]],guests8[[guest_id]:[city]],5,0)</f>
        <v>Kolhapur</v>
      </c>
    </row>
    <row r="118" spans="1:10" x14ac:dyDescent="0.3">
      <c r="A118">
        <v>117</v>
      </c>
      <c r="B118">
        <v>17</v>
      </c>
      <c r="C118">
        <v>17</v>
      </c>
      <c r="D118" s="2">
        <v>46428</v>
      </c>
      <c r="E118" s="2">
        <v>46430</v>
      </c>
      <c r="F118" t="s">
        <v>331</v>
      </c>
      <c r="G118" t="str">
        <f>_xlfn.XLOOKUP(C118,Rooms_Clean!$A$2:$A$51,Rooms_Clean!$C$2:$C$51,"Not Found")</f>
        <v>Single</v>
      </c>
      <c r="H118" t="str">
        <f>_xlfn.XLOOKUP(B118,Guests_Clean!$A$2:$A$101,Guests_Clean!$B$2:$B$101)</f>
        <v>Aditya More</v>
      </c>
      <c r="I118" s="13" t="str">
        <f>VLOOKUP(bookings10[[#This Row],[room_id]],rooms9[[room_id]:[room_type]],3,0)</f>
        <v>Single</v>
      </c>
      <c r="J118" s="13" t="str">
        <f>VLOOKUP(bookings10[[#This Row],[guest_id]],guests8[[guest_id]:[city]],5,0)</f>
        <v>Mumbai</v>
      </c>
    </row>
    <row r="119" spans="1:10" x14ac:dyDescent="0.3">
      <c r="A119">
        <v>118</v>
      </c>
      <c r="B119">
        <v>18</v>
      </c>
      <c r="C119">
        <v>18</v>
      </c>
      <c r="D119" s="2">
        <v>46429</v>
      </c>
      <c r="E119" s="2">
        <v>46432</v>
      </c>
      <c r="F119" t="s">
        <v>331</v>
      </c>
      <c r="G119" t="str">
        <f>_xlfn.XLOOKUP(C119,Rooms_Clean!$A$2:$A$51,Rooms_Clean!$C$2:$C$51,"Not Found")</f>
        <v>Double</v>
      </c>
      <c r="H119" t="str">
        <f>_xlfn.XLOOKUP(B119,Guests_Clean!$A$2:$A$101,Guests_Clean!$B$2:$B$101)</f>
        <v>Ira Desai</v>
      </c>
      <c r="I119" s="13" t="str">
        <f>VLOOKUP(bookings10[[#This Row],[room_id]],rooms9[[room_id]:[room_type]],3,0)</f>
        <v>Double</v>
      </c>
      <c r="J119" s="13" t="str">
        <f>VLOOKUP(bookings10[[#This Row],[guest_id]],guests8[[guest_id]:[city]],5,0)</f>
        <v>Nashik</v>
      </c>
    </row>
    <row r="120" spans="1:10" x14ac:dyDescent="0.3">
      <c r="A120">
        <v>119</v>
      </c>
      <c r="B120">
        <v>19</v>
      </c>
      <c r="C120">
        <v>19</v>
      </c>
      <c r="D120" s="2">
        <v>46430</v>
      </c>
      <c r="E120" s="2">
        <v>46434</v>
      </c>
      <c r="F120" t="s">
        <v>331</v>
      </c>
      <c r="G120" t="str">
        <f>_xlfn.XLOOKUP(C120,Rooms_Clean!$A$2:$A$51,Rooms_Clean!$C$2:$C$51,"Not Found")</f>
        <v>Double</v>
      </c>
      <c r="H120" t="str">
        <f>_xlfn.XLOOKUP(B120,Guests_Clean!$A$2:$A$101,Guests_Clean!$B$2:$B$101)</f>
        <v>Omkar Jadhav</v>
      </c>
      <c r="I120" s="13" t="str">
        <f>VLOOKUP(bookings10[[#This Row],[room_id]],rooms9[[room_id]:[room_type]],3,0)</f>
        <v>Double</v>
      </c>
      <c r="J120" s="13" t="str">
        <f>VLOOKUP(bookings10[[#This Row],[guest_id]],guests8[[guest_id]:[city]],5,0)</f>
        <v>Pune</v>
      </c>
    </row>
    <row r="121" spans="1:10" x14ac:dyDescent="0.3">
      <c r="A121">
        <v>120</v>
      </c>
      <c r="B121">
        <v>20</v>
      </c>
      <c r="C121">
        <v>20</v>
      </c>
      <c r="D121" s="2">
        <v>46431</v>
      </c>
      <c r="E121" s="2">
        <v>46433</v>
      </c>
      <c r="F121" t="s">
        <v>332</v>
      </c>
      <c r="G121" t="str">
        <f>_xlfn.XLOOKUP(C121,Rooms_Clean!$A$2:$A$51,Rooms_Clean!$C$2:$C$51,"Not Found")</f>
        <v>Deluxe</v>
      </c>
      <c r="H121" t="str">
        <f>_xlfn.XLOOKUP(B121,Guests_Clean!$A$2:$A$101,Guests_Clean!$B$2:$B$101)</f>
        <v>Sana Khan</v>
      </c>
      <c r="I121" s="13" t="str">
        <f>VLOOKUP(bookings10[[#This Row],[room_id]],rooms9[[room_id]:[room_type]],3,0)</f>
        <v>Deluxe</v>
      </c>
      <c r="J121" s="13" t="str">
        <f>VLOOKUP(bookings10[[#This Row],[guest_id]],guests8[[guest_id]:[city]],5,0)</f>
        <v>Nagpur</v>
      </c>
    </row>
    <row r="122" spans="1:10" x14ac:dyDescent="0.3">
      <c r="A122">
        <v>121</v>
      </c>
      <c r="B122">
        <v>21</v>
      </c>
      <c r="C122">
        <v>21</v>
      </c>
      <c r="D122" s="2">
        <v>46432</v>
      </c>
      <c r="E122" s="2">
        <v>46435</v>
      </c>
      <c r="F122" t="s">
        <v>330</v>
      </c>
      <c r="G122" t="str">
        <f>_xlfn.XLOOKUP(C122,Rooms_Clean!$A$2:$A$51,Rooms_Clean!$C$2:$C$51,"Not Found")</f>
        <v>Suite</v>
      </c>
      <c r="H122" t="str">
        <f>_xlfn.XLOOKUP(B122,Guests_Clean!$A$2:$A$101,Guests_Clean!$B$2:$B$101)</f>
        <v>Rohan Patil</v>
      </c>
      <c r="I122" s="13" t="str">
        <f>VLOOKUP(bookings10[[#This Row],[room_id]],rooms9[[room_id]:[room_type]],3,0)</f>
        <v>Suite</v>
      </c>
      <c r="J122" s="13" t="str">
        <f>VLOOKUP(bookings10[[#This Row],[guest_id]],guests8[[guest_id]:[city]],5,0)</f>
        <v>Pune</v>
      </c>
    </row>
    <row r="123" spans="1:10" x14ac:dyDescent="0.3">
      <c r="A123">
        <v>122</v>
      </c>
      <c r="B123">
        <v>22</v>
      </c>
      <c r="C123">
        <v>22</v>
      </c>
      <c r="D123" s="2">
        <v>46433</v>
      </c>
      <c r="E123" s="2">
        <v>46437</v>
      </c>
      <c r="F123" t="s">
        <v>331</v>
      </c>
      <c r="G123" t="str">
        <f>_xlfn.XLOOKUP(C123,Rooms_Clean!$A$2:$A$51,Rooms_Clean!$C$2:$C$51,"Not Found")</f>
        <v>Single</v>
      </c>
      <c r="H123" t="str">
        <f>_xlfn.XLOOKUP(B123,Guests_Clean!$A$2:$A$101,Guests_Clean!$B$2:$B$101)</f>
        <v>Sneha Kulkarni</v>
      </c>
      <c r="I123" s="13" t="str">
        <f>VLOOKUP(bookings10[[#This Row],[room_id]],rooms9[[room_id]:[room_type]],3,0)</f>
        <v>Single</v>
      </c>
      <c r="J123" s="13" t="str">
        <f>VLOOKUP(bookings10[[#This Row],[guest_id]],guests8[[guest_id]:[city]],5,0)</f>
        <v>Mumbai</v>
      </c>
    </row>
    <row r="124" spans="1:10" x14ac:dyDescent="0.3">
      <c r="A124">
        <v>123</v>
      </c>
      <c r="B124">
        <v>23</v>
      </c>
      <c r="C124">
        <v>23</v>
      </c>
      <c r="D124" s="2">
        <v>46434</v>
      </c>
      <c r="E124" s="2">
        <v>46436</v>
      </c>
      <c r="F124" t="s">
        <v>331</v>
      </c>
      <c r="G124" t="str">
        <f>_xlfn.XLOOKUP(C124,Rooms_Clean!$A$2:$A$51,Rooms_Clean!$C$2:$C$51,"Not Found")</f>
        <v>Double</v>
      </c>
      <c r="H124" t="str">
        <f>_xlfn.XLOOKUP(B124,Guests_Clean!$A$2:$A$101,Guests_Clean!$B$2:$B$101)</f>
        <v>Amit Sharma</v>
      </c>
      <c r="I124" s="13" t="str">
        <f>VLOOKUP(bookings10[[#This Row],[room_id]],rooms9[[room_id]:[room_type]],3,0)</f>
        <v>Double</v>
      </c>
      <c r="J124" s="13" t="str">
        <f>VLOOKUP(bookings10[[#This Row],[guest_id]],guests8[[guest_id]:[city]],5,0)</f>
        <v>Nashik</v>
      </c>
    </row>
    <row r="125" spans="1:10" x14ac:dyDescent="0.3">
      <c r="A125">
        <v>124</v>
      </c>
      <c r="B125">
        <v>24</v>
      </c>
      <c r="C125">
        <v>24</v>
      </c>
      <c r="D125" s="2">
        <v>46435</v>
      </c>
      <c r="E125" s="2">
        <v>46438</v>
      </c>
      <c r="F125" t="s">
        <v>331</v>
      </c>
      <c r="G125" t="str">
        <f>_xlfn.XLOOKUP(C125,Rooms_Clean!$A$2:$A$51,Rooms_Clean!$C$2:$C$51,"Not Found")</f>
        <v>Deluxe</v>
      </c>
      <c r="H125" t="str">
        <f>_xlfn.XLOOKUP(B125,Guests_Clean!$A$2:$A$101,Guests_Clean!$B$2:$B$101)</f>
        <v>Pooja Deshmukh</v>
      </c>
      <c r="I125" s="13" t="str">
        <f>VLOOKUP(bookings10[[#This Row],[room_id]],rooms9[[room_id]:[room_type]],3,0)</f>
        <v>Deluxe</v>
      </c>
      <c r="J125" s="13" t="str">
        <f>VLOOKUP(bookings10[[#This Row],[guest_id]],guests8[[guest_id]:[city]],5,0)</f>
        <v>Nagpur</v>
      </c>
    </row>
    <row r="126" spans="1:10" x14ac:dyDescent="0.3">
      <c r="A126">
        <v>125</v>
      </c>
      <c r="B126">
        <v>25</v>
      </c>
      <c r="C126">
        <v>25</v>
      </c>
      <c r="D126" s="2">
        <v>46436</v>
      </c>
      <c r="E126" s="2">
        <v>46440</v>
      </c>
      <c r="F126" t="s">
        <v>331</v>
      </c>
      <c r="G126" t="str">
        <f>_xlfn.XLOOKUP(C126,Rooms_Clean!$A$2:$A$51,Rooms_Clean!$C$2:$C$51,"Not Found")</f>
        <v>Suite</v>
      </c>
      <c r="H126" t="str">
        <f>_xlfn.XLOOKUP(B126,Guests_Clean!$A$2:$A$101,Guests_Clean!$B$2:$B$101)</f>
        <v>Karan Joshi</v>
      </c>
      <c r="I126" s="13" t="str">
        <f>VLOOKUP(bookings10[[#This Row],[room_id]],rooms9[[room_id]:[room_type]],3,0)</f>
        <v>Suite</v>
      </c>
      <c r="J126" s="13" t="str">
        <f>VLOOKUP(bookings10[[#This Row],[guest_id]],guests8[[guest_id]:[city]],5,0)</f>
        <v>Pune</v>
      </c>
    </row>
    <row r="127" spans="1:10" x14ac:dyDescent="0.3">
      <c r="A127">
        <v>126</v>
      </c>
      <c r="B127">
        <v>26</v>
      </c>
      <c r="C127">
        <v>26</v>
      </c>
      <c r="D127" s="2">
        <v>46437</v>
      </c>
      <c r="E127" s="2">
        <v>46439</v>
      </c>
      <c r="F127" t="s">
        <v>331</v>
      </c>
      <c r="G127" t="str">
        <f>_xlfn.XLOOKUP(C127,Rooms_Clean!$A$2:$A$51,Rooms_Clean!$C$2:$C$51,"Not Found")</f>
        <v>Single</v>
      </c>
      <c r="H127" t="str">
        <f>_xlfn.XLOOKUP(B127,Guests_Clean!$A$2:$A$101,Guests_Clean!$B$2:$B$101)</f>
        <v>Priya Shah</v>
      </c>
      <c r="I127" s="13" t="str">
        <f>VLOOKUP(bookings10[[#This Row],[room_id]],rooms9[[room_id]:[room_type]],3,0)</f>
        <v>Single</v>
      </c>
      <c r="J127" s="13" t="str">
        <f>VLOOKUP(bookings10[[#This Row],[guest_id]],guests8[[guest_id]:[city]],5,0)</f>
        <v>Mumbai</v>
      </c>
    </row>
    <row r="128" spans="1:10" x14ac:dyDescent="0.3">
      <c r="A128">
        <v>127</v>
      </c>
      <c r="B128">
        <v>27</v>
      </c>
      <c r="C128">
        <v>27</v>
      </c>
      <c r="D128" s="2">
        <v>46438</v>
      </c>
      <c r="E128" s="2">
        <v>46441</v>
      </c>
      <c r="F128" t="s">
        <v>331</v>
      </c>
      <c r="G128" t="str">
        <f>_xlfn.XLOOKUP(C128,Rooms_Clean!$A$2:$A$51,Rooms_Clean!$C$2:$C$51,"Not Found")</f>
        <v>Double</v>
      </c>
      <c r="H128" t="str">
        <f>_xlfn.XLOOKUP(B128,Guests_Clean!$A$2:$A$101,Guests_Clean!$B$2:$B$101)</f>
        <v>Rahul More</v>
      </c>
      <c r="I128" s="13" t="str">
        <f>VLOOKUP(bookings10[[#This Row],[room_id]],rooms9[[room_id]:[room_type]],3,0)</f>
        <v>Double</v>
      </c>
      <c r="J128" s="13" t="str">
        <f>VLOOKUP(bookings10[[#This Row],[guest_id]],guests8[[guest_id]:[city]],5,0)</f>
        <v>Nashik</v>
      </c>
    </row>
    <row r="129" spans="1:10" x14ac:dyDescent="0.3">
      <c r="A129">
        <v>128</v>
      </c>
      <c r="B129">
        <v>28</v>
      </c>
      <c r="C129">
        <v>28</v>
      </c>
      <c r="D129" s="2">
        <v>46439</v>
      </c>
      <c r="E129" s="2">
        <v>46443</v>
      </c>
      <c r="F129" t="s">
        <v>331</v>
      </c>
      <c r="G129" t="str">
        <f>_xlfn.XLOOKUP(C129,Rooms_Clean!$A$2:$A$51,Rooms_Clean!$C$2:$C$51,"Not Found")</f>
        <v>Deluxe</v>
      </c>
      <c r="H129" t="str">
        <f>_xlfn.XLOOKUP(B129,Guests_Clean!$A$2:$A$101,Guests_Clean!$B$2:$B$101)</f>
        <v>Neha Pawar</v>
      </c>
      <c r="I129" s="13" t="str">
        <f>VLOOKUP(bookings10[[#This Row],[room_id]],rooms9[[room_id]:[room_type]],3,0)</f>
        <v>Deluxe</v>
      </c>
      <c r="J129" s="13" t="str">
        <f>VLOOKUP(bookings10[[#This Row],[guest_id]],guests8[[guest_id]:[city]],5,0)</f>
        <v>Nagpur</v>
      </c>
    </row>
    <row r="130" spans="1:10" x14ac:dyDescent="0.3">
      <c r="A130">
        <v>129</v>
      </c>
      <c r="B130">
        <v>29</v>
      </c>
      <c r="C130">
        <v>29</v>
      </c>
      <c r="D130" s="2">
        <v>46440</v>
      </c>
      <c r="E130" s="2">
        <v>46442</v>
      </c>
      <c r="F130" t="s">
        <v>331</v>
      </c>
      <c r="G130" t="str">
        <f>_xlfn.XLOOKUP(C130,Rooms_Clean!$A$2:$A$51,Rooms_Clean!$C$2:$C$51,"Not Found")</f>
        <v>Suite</v>
      </c>
      <c r="H130" t="str">
        <f>_xlfn.XLOOKUP(B130,Guests_Clean!$A$2:$A$101,Guests_Clean!$B$2:$B$101)</f>
        <v>Sanket Jadhav</v>
      </c>
      <c r="I130" s="13" t="str">
        <f>VLOOKUP(bookings10[[#This Row],[room_id]],rooms9[[room_id]:[room_type]],3,0)</f>
        <v>Suite</v>
      </c>
      <c r="J130" s="13" t="str">
        <f>VLOOKUP(bookings10[[#This Row],[guest_id]],guests8[[guest_id]:[city]],5,0)</f>
        <v>Pune</v>
      </c>
    </row>
    <row r="131" spans="1:10" x14ac:dyDescent="0.3">
      <c r="A131">
        <v>130</v>
      </c>
      <c r="B131">
        <v>30</v>
      </c>
      <c r="C131">
        <v>30</v>
      </c>
      <c r="D131" s="2">
        <v>46441</v>
      </c>
      <c r="E131" s="2">
        <v>46444</v>
      </c>
      <c r="F131" t="s">
        <v>332</v>
      </c>
      <c r="G131" t="str">
        <f>_xlfn.XLOOKUP(C131,Rooms_Clean!$A$2:$A$51,Rooms_Clean!$C$2:$C$51,"Not Found")</f>
        <v>Single</v>
      </c>
      <c r="H131" t="str">
        <f>_xlfn.XLOOKUP(B131,Guests_Clean!$A$2:$A$101,Guests_Clean!$B$2:$B$101)</f>
        <v>Anjali Patil</v>
      </c>
      <c r="I131" s="13" t="str">
        <f>VLOOKUP(bookings10[[#This Row],[room_id]],rooms9[[room_id]:[room_type]],3,0)</f>
        <v>Single</v>
      </c>
      <c r="J131" s="13" t="str">
        <f>VLOOKUP(bookings10[[#This Row],[guest_id]],guests8[[guest_id]:[city]],5,0)</f>
        <v>Mumbai</v>
      </c>
    </row>
    <row r="132" spans="1:10" x14ac:dyDescent="0.3">
      <c r="A132">
        <v>131</v>
      </c>
      <c r="B132">
        <v>31</v>
      </c>
      <c r="C132">
        <v>31</v>
      </c>
      <c r="D132" s="2">
        <v>46442</v>
      </c>
      <c r="E132" s="2">
        <v>46446</v>
      </c>
      <c r="F132" t="s">
        <v>330</v>
      </c>
      <c r="G132" t="str">
        <f>_xlfn.XLOOKUP(C132,Rooms_Clean!$A$2:$A$51,Rooms_Clean!$C$2:$C$51,"Not Found")</f>
        <v>Double</v>
      </c>
      <c r="H132" t="str">
        <f>_xlfn.XLOOKUP(B132,Guests_Clean!$A$2:$A$101,Guests_Clean!$B$2:$B$101)</f>
        <v>Vikas Shinde</v>
      </c>
      <c r="I132" s="13" t="str">
        <f>VLOOKUP(bookings10[[#This Row],[room_id]],rooms9[[room_id]:[room_type]],3,0)</f>
        <v>Double</v>
      </c>
      <c r="J132" s="13" t="str">
        <f>VLOOKUP(bookings10[[#This Row],[guest_id]],guests8[[guest_id]:[city]],5,0)</f>
        <v>Nashik</v>
      </c>
    </row>
    <row r="133" spans="1:10" x14ac:dyDescent="0.3">
      <c r="A133">
        <v>132</v>
      </c>
      <c r="B133">
        <v>32</v>
      </c>
      <c r="C133">
        <v>32</v>
      </c>
      <c r="D133" s="2">
        <v>46443</v>
      </c>
      <c r="E133" s="2">
        <v>46445</v>
      </c>
      <c r="F133" t="s">
        <v>331</v>
      </c>
      <c r="G133" t="str">
        <f>_xlfn.XLOOKUP(C133,Rooms_Clean!$A$2:$A$51,Rooms_Clean!$C$2:$C$51,"Not Found")</f>
        <v>Deluxe</v>
      </c>
      <c r="H133" t="str">
        <f>_xlfn.XLOOKUP(B133,Guests_Clean!$A$2:$A$101,Guests_Clean!$B$2:$B$101)</f>
        <v>Meera Joshi</v>
      </c>
      <c r="I133" s="13" t="str">
        <f>VLOOKUP(bookings10[[#This Row],[room_id]],rooms9[[room_id]:[room_type]],3,0)</f>
        <v>Deluxe</v>
      </c>
      <c r="J133" s="13" t="str">
        <f>VLOOKUP(bookings10[[#This Row],[guest_id]],guests8[[guest_id]:[city]],5,0)</f>
        <v>Nagpur</v>
      </c>
    </row>
    <row r="134" spans="1:10" x14ac:dyDescent="0.3">
      <c r="A134">
        <v>133</v>
      </c>
      <c r="B134">
        <v>33</v>
      </c>
      <c r="C134">
        <v>33</v>
      </c>
      <c r="D134" s="2">
        <v>46444</v>
      </c>
      <c r="E134" s="2">
        <v>46447</v>
      </c>
      <c r="F134" t="s">
        <v>331</v>
      </c>
      <c r="G134" t="str">
        <f>_xlfn.XLOOKUP(C134,Rooms_Clean!$A$2:$A$51,Rooms_Clean!$C$2:$C$51,"Not Found")</f>
        <v>Suite</v>
      </c>
      <c r="H134" t="str">
        <f>_xlfn.XLOOKUP(B134,Guests_Clean!$A$2:$A$101,Guests_Clean!$B$2:$B$101)</f>
        <v>Akash Pawar</v>
      </c>
      <c r="I134" s="13" t="str">
        <f>VLOOKUP(bookings10[[#This Row],[room_id]],rooms9[[room_id]:[room_type]],3,0)</f>
        <v>Suite</v>
      </c>
      <c r="J134" s="13" t="str">
        <f>VLOOKUP(bookings10[[#This Row],[guest_id]],guests8[[guest_id]:[city]],5,0)</f>
        <v>Pune</v>
      </c>
    </row>
    <row r="135" spans="1:10" x14ac:dyDescent="0.3">
      <c r="A135">
        <v>134</v>
      </c>
      <c r="B135">
        <v>34</v>
      </c>
      <c r="C135">
        <v>34</v>
      </c>
      <c r="D135" s="2">
        <v>46445</v>
      </c>
      <c r="E135" s="2">
        <v>46449</v>
      </c>
      <c r="F135" t="s">
        <v>331</v>
      </c>
      <c r="G135" t="str">
        <f>_xlfn.XLOOKUP(C135,Rooms_Clean!$A$2:$A$51,Rooms_Clean!$C$2:$C$51,"Not Found")</f>
        <v>Single</v>
      </c>
      <c r="H135" t="str">
        <f>_xlfn.XLOOKUP(B135,Guests_Clean!$A$2:$A$101,Guests_Clean!$B$2:$B$101)</f>
        <v>Rutuja More</v>
      </c>
      <c r="I135" s="13" t="str">
        <f>VLOOKUP(bookings10[[#This Row],[room_id]],rooms9[[room_id]:[room_type]],3,0)</f>
        <v>Single</v>
      </c>
      <c r="J135" s="13" t="str">
        <f>VLOOKUP(bookings10[[#This Row],[guest_id]],guests8[[guest_id]:[city]],5,0)</f>
        <v>Mumbai</v>
      </c>
    </row>
    <row r="136" spans="1:10" x14ac:dyDescent="0.3">
      <c r="A136">
        <v>135</v>
      </c>
      <c r="B136">
        <v>35</v>
      </c>
      <c r="C136">
        <v>35</v>
      </c>
      <c r="D136" s="2">
        <v>46446</v>
      </c>
      <c r="E136" s="2">
        <v>46448</v>
      </c>
      <c r="F136" t="s">
        <v>331</v>
      </c>
      <c r="G136" t="str">
        <f>_xlfn.XLOOKUP(C136,Rooms_Clean!$A$2:$A$51,Rooms_Clean!$C$2:$C$51,"Not Found")</f>
        <v>Double</v>
      </c>
      <c r="H136" t="str">
        <f>_xlfn.XLOOKUP(B136,Guests_Clean!$A$2:$A$101,Guests_Clean!$B$2:$B$101)</f>
        <v>Nikhil Patil</v>
      </c>
      <c r="I136" s="13" t="str">
        <f>VLOOKUP(bookings10[[#This Row],[room_id]],rooms9[[room_id]:[room_type]],3,0)</f>
        <v>Double</v>
      </c>
      <c r="J136" s="13" t="str">
        <f>VLOOKUP(bookings10[[#This Row],[guest_id]],guests8[[guest_id]:[city]],5,0)</f>
        <v>Nashik</v>
      </c>
    </row>
    <row r="137" spans="1:10" x14ac:dyDescent="0.3">
      <c r="A137">
        <v>136</v>
      </c>
      <c r="B137">
        <v>36</v>
      </c>
      <c r="C137">
        <v>36</v>
      </c>
      <c r="D137" s="2">
        <v>46447</v>
      </c>
      <c r="E137" s="2">
        <v>46450</v>
      </c>
      <c r="F137" t="s">
        <v>331</v>
      </c>
      <c r="G137" t="str">
        <f>_xlfn.XLOOKUP(C137,Rooms_Clean!$A$2:$A$51,Rooms_Clean!$C$2:$C$51,"Not Found")</f>
        <v>Deluxe</v>
      </c>
      <c r="H137" t="str">
        <f>_xlfn.XLOOKUP(B137,Guests_Clean!$A$2:$A$101,Guests_Clean!$B$2:$B$101)</f>
        <v>Kavita Shah</v>
      </c>
      <c r="I137" s="13" t="str">
        <f>VLOOKUP(bookings10[[#This Row],[room_id]],rooms9[[room_id]:[room_type]],3,0)</f>
        <v>Deluxe</v>
      </c>
      <c r="J137" s="13" t="str">
        <f>VLOOKUP(bookings10[[#This Row],[guest_id]],guests8[[guest_id]:[city]],5,0)</f>
        <v>Nagpur</v>
      </c>
    </row>
    <row r="138" spans="1:10" x14ac:dyDescent="0.3">
      <c r="A138">
        <v>137</v>
      </c>
      <c r="B138">
        <v>37</v>
      </c>
      <c r="C138">
        <v>37</v>
      </c>
      <c r="D138" s="2">
        <v>46448</v>
      </c>
      <c r="E138" s="2">
        <v>46452</v>
      </c>
      <c r="F138" t="s">
        <v>331</v>
      </c>
      <c r="G138" t="str">
        <f>_xlfn.XLOOKUP(C138,Rooms_Clean!$A$2:$A$51,Rooms_Clean!$C$2:$C$51,"Not Found")</f>
        <v>Suite</v>
      </c>
      <c r="H138" t="str">
        <f>_xlfn.XLOOKUP(B138,Guests_Clean!$A$2:$A$101,Guests_Clean!$B$2:$B$101)</f>
        <v>Sagar Kulkarni</v>
      </c>
      <c r="I138" s="13" t="str">
        <f>VLOOKUP(bookings10[[#This Row],[room_id]],rooms9[[room_id]:[room_type]],3,0)</f>
        <v>Suite</v>
      </c>
      <c r="J138" s="13" t="str">
        <f>VLOOKUP(bookings10[[#This Row],[guest_id]],guests8[[guest_id]:[city]],5,0)</f>
        <v>Pune</v>
      </c>
    </row>
    <row r="139" spans="1:10" x14ac:dyDescent="0.3">
      <c r="A139">
        <v>138</v>
      </c>
      <c r="B139">
        <v>38</v>
      </c>
      <c r="C139">
        <v>38</v>
      </c>
      <c r="D139" s="2">
        <v>46449</v>
      </c>
      <c r="E139" s="2">
        <v>46451</v>
      </c>
      <c r="F139" t="s">
        <v>331</v>
      </c>
      <c r="G139" t="str">
        <f>_xlfn.XLOOKUP(C139,Rooms_Clean!$A$2:$A$51,Rooms_Clean!$C$2:$C$51,"Not Found")</f>
        <v>Single</v>
      </c>
      <c r="H139" t="str">
        <f>_xlfn.XLOOKUP(B139,Guests_Clean!$A$2:$A$101,Guests_Clean!$B$2:$B$101)</f>
        <v>Isha Deshmukh</v>
      </c>
      <c r="I139" s="13" t="str">
        <f>VLOOKUP(bookings10[[#This Row],[room_id]],rooms9[[room_id]:[room_type]],3,0)</f>
        <v>Single</v>
      </c>
      <c r="J139" s="13" t="str">
        <f>VLOOKUP(bookings10[[#This Row],[guest_id]],guests8[[guest_id]:[city]],5,0)</f>
        <v>Mumbai</v>
      </c>
    </row>
    <row r="140" spans="1:10" x14ac:dyDescent="0.3">
      <c r="A140">
        <v>139</v>
      </c>
      <c r="B140">
        <v>39</v>
      </c>
      <c r="C140">
        <v>39</v>
      </c>
      <c r="D140" s="2">
        <v>46450</v>
      </c>
      <c r="E140" s="2">
        <v>46453</v>
      </c>
      <c r="F140" t="s">
        <v>331</v>
      </c>
      <c r="G140" t="str">
        <f>_xlfn.XLOOKUP(C140,Rooms_Clean!$A$2:$A$51,Rooms_Clean!$C$2:$C$51,"Not Found")</f>
        <v>Double</v>
      </c>
      <c r="H140" t="str">
        <f>_xlfn.XLOOKUP(B140,Guests_Clean!$A$2:$A$101,Guests_Clean!$B$2:$B$101)</f>
        <v>Omkar Jadhav</v>
      </c>
      <c r="I140" s="13" t="str">
        <f>VLOOKUP(bookings10[[#This Row],[room_id]],rooms9[[room_id]:[room_type]],3,0)</f>
        <v>Double</v>
      </c>
      <c r="J140" s="13" t="str">
        <f>VLOOKUP(bookings10[[#This Row],[guest_id]],guests8[[guest_id]:[city]],5,0)</f>
        <v>Nashik</v>
      </c>
    </row>
    <row r="141" spans="1:10" x14ac:dyDescent="0.3">
      <c r="A141">
        <v>140</v>
      </c>
      <c r="B141">
        <v>40</v>
      </c>
      <c r="C141">
        <v>40</v>
      </c>
      <c r="D141" s="2">
        <v>46451</v>
      </c>
      <c r="E141" s="2">
        <v>46455</v>
      </c>
      <c r="F141" t="s">
        <v>332</v>
      </c>
      <c r="G141" t="str">
        <f>_xlfn.XLOOKUP(C141,Rooms_Clean!$A$2:$A$51,Rooms_Clean!$C$2:$C$51,"Not Found")</f>
        <v>Deluxe</v>
      </c>
      <c r="H141" t="str">
        <f>_xlfn.XLOOKUP(B141,Guests_Clean!$A$2:$A$101,Guests_Clean!$B$2:$B$101)</f>
        <v>Pallavi Sharma</v>
      </c>
      <c r="I141" s="13" t="str">
        <f>VLOOKUP(bookings10[[#This Row],[room_id]],rooms9[[room_id]:[room_type]],3,0)</f>
        <v>Deluxe</v>
      </c>
      <c r="J141" s="13" t="str">
        <f>VLOOKUP(bookings10[[#This Row],[guest_id]],guests8[[guest_id]:[city]],5,0)</f>
        <v>Nagpur</v>
      </c>
    </row>
    <row r="142" spans="1:10" x14ac:dyDescent="0.3">
      <c r="A142">
        <v>141</v>
      </c>
      <c r="B142">
        <v>41</v>
      </c>
      <c r="C142">
        <v>41</v>
      </c>
      <c r="D142" s="2">
        <v>46452</v>
      </c>
      <c r="E142" s="2">
        <v>46454</v>
      </c>
      <c r="F142" t="s">
        <v>330</v>
      </c>
      <c r="G142" t="str">
        <f>_xlfn.XLOOKUP(C142,Rooms_Clean!$A$2:$A$51,Rooms_Clean!$C$2:$C$51,"Not Found")</f>
        <v>Suite</v>
      </c>
      <c r="H142" t="str">
        <f>_xlfn.XLOOKUP(B142,Guests_Clean!$A$2:$A$101,Guests_Clean!$B$2:$B$101)</f>
        <v>Aditya Joshi</v>
      </c>
      <c r="I142" s="13" t="str">
        <f>VLOOKUP(bookings10[[#This Row],[room_id]],rooms9[[room_id]:[room_type]],3,0)</f>
        <v>Suite</v>
      </c>
      <c r="J142" s="13" t="str">
        <f>VLOOKUP(bookings10[[#This Row],[guest_id]],guests8[[guest_id]:[city]],5,0)</f>
        <v>Pune</v>
      </c>
    </row>
    <row r="143" spans="1:10" x14ac:dyDescent="0.3">
      <c r="A143">
        <v>142</v>
      </c>
      <c r="B143">
        <v>42</v>
      </c>
      <c r="C143">
        <v>42</v>
      </c>
      <c r="D143" s="2">
        <v>46453</v>
      </c>
      <c r="E143" s="2">
        <v>46456</v>
      </c>
      <c r="F143" t="s">
        <v>331</v>
      </c>
      <c r="G143" t="str">
        <f>_xlfn.XLOOKUP(C143,Rooms_Clean!$A$2:$A$51,Rooms_Clean!$C$2:$C$51,"Not Found")</f>
        <v>Single</v>
      </c>
      <c r="H143" t="str">
        <f>_xlfn.XLOOKUP(B143,Guests_Clean!$A$2:$A$101,Guests_Clean!$B$2:$B$101)</f>
        <v>Shruti Patil</v>
      </c>
      <c r="I143" s="13" t="str">
        <f>VLOOKUP(bookings10[[#This Row],[room_id]],rooms9[[room_id]:[room_type]],3,0)</f>
        <v>Single</v>
      </c>
      <c r="J143" s="13" t="str">
        <f>VLOOKUP(bookings10[[#This Row],[guest_id]],guests8[[guest_id]:[city]],5,0)</f>
        <v>Mumbai</v>
      </c>
    </row>
    <row r="144" spans="1:10" x14ac:dyDescent="0.3">
      <c r="A144">
        <v>143</v>
      </c>
      <c r="B144">
        <v>43</v>
      </c>
      <c r="C144">
        <v>43</v>
      </c>
      <c r="D144" s="2">
        <v>46454</v>
      </c>
      <c r="E144" s="2">
        <v>46458</v>
      </c>
      <c r="F144" t="s">
        <v>331</v>
      </c>
      <c r="G144" t="str">
        <f>_xlfn.XLOOKUP(C144,Rooms_Clean!$A$2:$A$51,Rooms_Clean!$C$2:$C$51,"Not Found")</f>
        <v>Double</v>
      </c>
      <c r="H144" t="str">
        <f>_xlfn.XLOOKUP(B144,Guests_Clean!$A$2:$A$101,Guests_Clean!$B$2:$B$101)</f>
        <v>Manoj Kulkarni</v>
      </c>
      <c r="I144" s="13" t="str">
        <f>VLOOKUP(bookings10[[#This Row],[room_id]],rooms9[[room_id]:[room_type]],3,0)</f>
        <v>Double</v>
      </c>
      <c r="J144" s="13" t="str">
        <f>VLOOKUP(bookings10[[#This Row],[guest_id]],guests8[[guest_id]:[city]],5,0)</f>
        <v>Nashik</v>
      </c>
    </row>
    <row r="145" spans="1:10" x14ac:dyDescent="0.3">
      <c r="A145">
        <v>144</v>
      </c>
      <c r="B145">
        <v>44</v>
      </c>
      <c r="C145">
        <v>44</v>
      </c>
      <c r="D145" s="2">
        <v>46455</v>
      </c>
      <c r="E145" s="2">
        <v>46457</v>
      </c>
      <c r="F145" t="s">
        <v>331</v>
      </c>
      <c r="G145" t="str">
        <f>_xlfn.XLOOKUP(C145,Rooms_Clean!$A$2:$A$51,Rooms_Clean!$C$2:$C$51,"Not Found")</f>
        <v>Deluxe</v>
      </c>
      <c r="H145" t="str">
        <f>_xlfn.XLOOKUP(B145,Guests_Clean!$A$2:$A$101,Guests_Clean!$B$2:$B$101)</f>
        <v>Sayali Deshmukh</v>
      </c>
      <c r="I145" s="13" t="str">
        <f>VLOOKUP(bookings10[[#This Row],[room_id]],rooms9[[room_id]:[room_type]],3,0)</f>
        <v>Deluxe</v>
      </c>
      <c r="J145" s="13" t="str">
        <f>VLOOKUP(bookings10[[#This Row],[guest_id]],guests8[[guest_id]:[city]],5,0)</f>
        <v>Nagpur</v>
      </c>
    </row>
    <row r="146" spans="1:10" x14ac:dyDescent="0.3">
      <c r="A146">
        <v>145</v>
      </c>
      <c r="B146">
        <v>45</v>
      </c>
      <c r="C146">
        <v>45</v>
      </c>
      <c r="D146" s="2">
        <v>46456</v>
      </c>
      <c r="E146" s="2">
        <v>46459</v>
      </c>
      <c r="F146" t="s">
        <v>331</v>
      </c>
      <c r="G146" t="str">
        <f>_xlfn.XLOOKUP(C146,Rooms_Clean!$A$2:$A$51,Rooms_Clean!$C$2:$C$51,"Not Found")</f>
        <v>Suite</v>
      </c>
      <c r="H146" t="str">
        <f>_xlfn.XLOOKUP(B146,Guests_Clean!$A$2:$A$101,Guests_Clean!$B$2:$B$101)</f>
        <v>Varun Shah</v>
      </c>
      <c r="I146" s="13" t="str">
        <f>VLOOKUP(bookings10[[#This Row],[room_id]],rooms9[[room_id]:[room_type]],3,0)</f>
        <v>Suite</v>
      </c>
      <c r="J146" s="13" t="str">
        <f>VLOOKUP(bookings10[[#This Row],[guest_id]],guests8[[guest_id]:[city]],5,0)</f>
        <v>Pune</v>
      </c>
    </row>
    <row r="147" spans="1:10" x14ac:dyDescent="0.3">
      <c r="A147">
        <v>146</v>
      </c>
      <c r="B147">
        <v>46</v>
      </c>
      <c r="C147">
        <v>46</v>
      </c>
      <c r="D147" s="2">
        <v>46457</v>
      </c>
      <c r="E147" s="2">
        <v>46461</v>
      </c>
      <c r="F147" t="s">
        <v>331</v>
      </c>
      <c r="G147" t="str">
        <f>_xlfn.XLOOKUP(C147,Rooms_Clean!$A$2:$A$51,Rooms_Clean!$C$2:$C$51,"Not Found")</f>
        <v>Single</v>
      </c>
      <c r="H147" t="str">
        <f>_xlfn.XLOOKUP(B147,Guests_Clean!$A$2:$A$101,Guests_Clean!$B$2:$B$101)</f>
        <v>Aarti Pawar</v>
      </c>
      <c r="I147" s="13" t="str">
        <f>VLOOKUP(bookings10[[#This Row],[room_id]],rooms9[[room_id]:[room_type]],3,0)</f>
        <v>Single</v>
      </c>
      <c r="J147" s="13" t="str">
        <f>VLOOKUP(bookings10[[#This Row],[guest_id]],guests8[[guest_id]:[city]],5,0)</f>
        <v>Mumbai</v>
      </c>
    </row>
    <row r="148" spans="1:10" x14ac:dyDescent="0.3">
      <c r="A148">
        <v>147</v>
      </c>
      <c r="B148">
        <v>47</v>
      </c>
      <c r="C148">
        <v>47</v>
      </c>
      <c r="D148" s="2">
        <v>46458</v>
      </c>
      <c r="E148" s="2">
        <v>46460</v>
      </c>
      <c r="F148" t="s">
        <v>331</v>
      </c>
      <c r="G148" t="str">
        <f>_xlfn.XLOOKUP(C148,Rooms_Clean!$A$2:$A$51,Rooms_Clean!$C$2:$C$51,"Not Found")</f>
        <v>Double</v>
      </c>
      <c r="H148" t="str">
        <f>_xlfn.XLOOKUP(B148,Guests_Clean!$A$2:$A$101,Guests_Clean!$B$2:$B$101)</f>
        <v>Prasad More</v>
      </c>
      <c r="I148" s="13" t="str">
        <f>VLOOKUP(bookings10[[#This Row],[room_id]],rooms9[[room_id]:[room_type]],3,0)</f>
        <v>Double</v>
      </c>
      <c r="J148" s="13" t="str">
        <f>VLOOKUP(bookings10[[#This Row],[guest_id]],guests8[[guest_id]:[city]],5,0)</f>
        <v>Nashik</v>
      </c>
    </row>
    <row r="149" spans="1:10" x14ac:dyDescent="0.3">
      <c r="A149">
        <v>148</v>
      </c>
      <c r="B149">
        <v>48</v>
      </c>
      <c r="C149">
        <v>48</v>
      </c>
      <c r="D149" s="2">
        <v>46459</v>
      </c>
      <c r="E149" s="2">
        <v>46462</v>
      </c>
      <c r="F149" t="s">
        <v>331</v>
      </c>
      <c r="G149" t="str">
        <f>_xlfn.XLOOKUP(C149,Rooms_Clean!$A$2:$A$51,Rooms_Clean!$C$2:$C$51,"Not Found")</f>
        <v>Deluxe</v>
      </c>
      <c r="H149" t="str">
        <f>_xlfn.XLOOKUP(B149,Guests_Clean!$A$2:$A$101,Guests_Clean!$B$2:$B$101)</f>
        <v>Riya Sharma</v>
      </c>
      <c r="I149" s="13" t="str">
        <f>VLOOKUP(bookings10[[#This Row],[room_id]],rooms9[[room_id]:[room_type]],3,0)</f>
        <v>Deluxe</v>
      </c>
      <c r="J149" s="13" t="str">
        <f>VLOOKUP(bookings10[[#This Row],[guest_id]],guests8[[guest_id]:[city]],5,0)</f>
        <v>Nagpur</v>
      </c>
    </row>
    <row r="150" spans="1:10" x14ac:dyDescent="0.3">
      <c r="A150">
        <v>149</v>
      </c>
      <c r="B150">
        <v>49</v>
      </c>
      <c r="C150">
        <v>49</v>
      </c>
      <c r="D150" s="2">
        <v>46460</v>
      </c>
      <c r="E150" s="2">
        <v>46464</v>
      </c>
      <c r="F150" t="s">
        <v>331</v>
      </c>
      <c r="G150" t="str">
        <f>_xlfn.XLOOKUP(C150,Rooms_Clean!$A$2:$A$51,Rooms_Clean!$C$2:$C$51,"Not Found")</f>
        <v>Suite</v>
      </c>
      <c r="H150" t="str">
        <f>_xlfn.XLOOKUP(B150,Guests_Clean!$A$2:$A$101,Guests_Clean!$B$2:$B$101)</f>
        <v>Tejas Jadhav</v>
      </c>
      <c r="I150" s="13" t="str">
        <f>VLOOKUP(bookings10[[#This Row],[room_id]],rooms9[[room_id]:[room_type]],3,0)</f>
        <v>Suite</v>
      </c>
      <c r="J150" s="13" t="str">
        <f>VLOOKUP(bookings10[[#This Row],[guest_id]],guests8[[guest_id]:[city]],5,0)</f>
        <v>Pune</v>
      </c>
    </row>
    <row r="151" spans="1:10" x14ac:dyDescent="0.3">
      <c r="A151">
        <v>150</v>
      </c>
      <c r="B151">
        <v>50</v>
      </c>
      <c r="C151">
        <v>50</v>
      </c>
      <c r="D151" s="2">
        <v>46461</v>
      </c>
      <c r="E151" s="2">
        <v>46463</v>
      </c>
      <c r="F151" t="s">
        <v>332</v>
      </c>
      <c r="G151" t="str">
        <f>_xlfn.XLOOKUP(C151,Rooms_Clean!$A$2:$A$51,Rooms_Clean!$C$2:$C$51,"Not Found")</f>
        <v>Double</v>
      </c>
      <c r="H151" t="str">
        <f>_xlfn.XLOOKUP(B151,Guests_Clean!$A$2:$A$101,Guests_Clean!$B$2:$B$101)</f>
        <v>Madhura Shinde</v>
      </c>
      <c r="I151" s="13" t="str">
        <f>VLOOKUP(bookings10[[#This Row],[room_id]],rooms9[[room_id]:[room_type]],3,0)</f>
        <v>Double</v>
      </c>
      <c r="J151" s="13" t="str">
        <f>VLOOKUP(bookings10[[#This Row],[guest_id]],guests8[[guest_id]:[city]],5,0)</f>
        <v>Mumbai</v>
      </c>
    </row>
  </sheetData>
  <conditionalFormatting sqref="A1:A1048576">
    <cfRule type="duplicateValues" dxfId="14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6D96-A07D-4D53-A4C6-968CC4A0FDE5}">
  <dimension ref="A1:P51"/>
  <sheetViews>
    <sheetView workbookViewId="0">
      <selection activeCell="A2" sqref="A2"/>
    </sheetView>
  </sheetViews>
  <sheetFormatPr defaultRowHeight="14.4" x14ac:dyDescent="0.3"/>
  <cols>
    <col min="1" max="1" width="10" bestFit="1" customWidth="1"/>
    <col min="2" max="2" width="14.77734375" bestFit="1" customWidth="1"/>
    <col min="3" max="3" width="12" bestFit="1" customWidth="1"/>
    <col min="4" max="4" width="16.109375" bestFit="1" customWidth="1"/>
    <col min="5" max="5" width="13.44140625" bestFit="1" customWidth="1"/>
    <col min="6" max="6" width="17.77734375" bestFit="1" customWidth="1"/>
    <col min="7" max="7" width="23" bestFit="1" customWidth="1"/>
    <col min="8" max="8" width="33.6640625" bestFit="1" customWidth="1"/>
    <col min="9" max="9" width="33.6640625" customWidth="1"/>
    <col min="11" max="11" width="34.33203125" bestFit="1" customWidth="1"/>
    <col min="13" max="13" width="15.33203125" bestFit="1" customWidth="1"/>
    <col min="14" max="14" width="30.77734375" bestFit="1" customWidth="1"/>
    <col min="16" max="16" width="34.33203125" bestFit="1" customWidth="1"/>
  </cols>
  <sheetData>
    <row r="1" spans="1:16" x14ac:dyDescent="0.3">
      <c r="A1" t="s">
        <v>312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394</v>
      </c>
      <c r="H1" t="s">
        <v>395</v>
      </c>
    </row>
    <row r="2" spans="1:16" x14ac:dyDescent="0.3">
      <c r="A2">
        <v>1</v>
      </c>
      <c r="B2">
        <v>101</v>
      </c>
      <c r="C2" t="s">
        <v>318</v>
      </c>
      <c r="D2">
        <v>1500</v>
      </c>
      <c r="E2" t="s">
        <v>319</v>
      </c>
      <c r="F2" t="s">
        <v>379</v>
      </c>
      <c r="G2" s="13" t="str">
        <f>IF(rooms9[[#This Row],[room_status]]="Available","Vecant","Not Available")</f>
        <v>Vecant</v>
      </c>
      <c r="H2" s="13" t="str">
        <f>IF(rooms9[[#This Row],[price_per_night]]&gt;3000,"Premium","Regular")</f>
        <v>Regular</v>
      </c>
      <c r="I2" s="13"/>
    </row>
    <row r="3" spans="1:16" x14ac:dyDescent="0.3">
      <c r="A3">
        <v>2</v>
      </c>
      <c r="B3">
        <v>102</v>
      </c>
      <c r="C3" t="s">
        <v>318</v>
      </c>
      <c r="D3">
        <v>1500</v>
      </c>
      <c r="E3" t="s">
        <v>320</v>
      </c>
      <c r="F3" t="s">
        <v>379</v>
      </c>
      <c r="G3" s="13" t="str">
        <f>IF(rooms9[[#This Row],[room_status]]="Available","Vecant","Not Available")</f>
        <v>Not Available</v>
      </c>
      <c r="H3" s="13" t="str">
        <f>IF(rooms9[[#This Row],[price_per_night]]&gt;3000,"Premium","Regular")</f>
        <v>Regular</v>
      </c>
      <c r="I3" s="13"/>
    </row>
    <row r="4" spans="1:16" x14ac:dyDescent="0.3">
      <c r="A4">
        <v>3</v>
      </c>
      <c r="B4">
        <v>103</v>
      </c>
      <c r="C4" t="s">
        <v>321</v>
      </c>
      <c r="D4">
        <v>2500</v>
      </c>
      <c r="E4" t="s">
        <v>319</v>
      </c>
      <c r="F4" t="s">
        <v>322</v>
      </c>
      <c r="G4" s="13" t="str">
        <f>IF(rooms9[[#This Row],[room_status]]="Available","Vecant","Not Available")</f>
        <v>Vecant</v>
      </c>
      <c r="H4" s="13" t="str">
        <f>IF(rooms9[[#This Row],[price_per_night]]&gt;3000,"Premium","Regular")</f>
        <v>Regular</v>
      </c>
      <c r="I4" s="13"/>
    </row>
    <row r="5" spans="1:16" x14ac:dyDescent="0.3">
      <c r="A5">
        <v>4</v>
      </c>
      <c r="B5">
        <v>104</v>
      </c>
      <c r="C5" t="s">
        <v>321</v>
      </c>
      <c r="D5">
        <v>2500</v>
      </c>
      <c r="E5" t="s">
        <v>320</v>
      </c>
      <c r="F5" t="s">
        <v>379</v>
      </c>
      <c r="G5" s="13" t="str">
        <f>IF(rooms9[[#This Row],[room_status]]="Available","Vecant","Not Available")</f>
        <v>Not Available</v>
      </c>
      <c r="H5" s="13" t="str">
        <f>IF(rooms9[[#This Row],[price_per_night]]&gt;3000,"Premium","Regular")</f>
        <v>Regular</v>
      </c>
      <c r="I5" s="13"/>
      <c r="K5" s="4" t="s">
        <v>381</v>
      </c>
      <c r="N5" s="4" t="s">
        <v>383</v>
      </c>
      <c r="P5" s="4" t="s">
        <v>384</v>
      </c>
    </row>
    <row r="6" spans="1:16" x14ac:dyDescent="0.3">
      <c r="A6">
        <v>5</v>
      </c>
      <c r="B6">
        <v>201</v>
      </c>
      <c r="C6" t="s">
        <v>323</v>
      </c>
      <c r="D6">
        <v>4000</v>
      </c>
      <c r="E6" t="s">
        <v>319</v>
      </c>
      <c r="F6" t="s">
        <v>379</v>
      </c>
      <c r="G6" s="13" t="str">
        <f>IF(rooms9[[#This Row],[room_status]]="Available","Vecant","Not Available")</f>
        <v>Vecant</v>
      </c>
      <c r="H6" s="13" t="str">
        <f>IF(rooms9[[#This Row],[price_per_night]]&gt;3000,"Premium","Regular")</f>
        <v>Premium</v>
      </c>
      <c r="I6" s="13"/>
      <c r="K6" s="6">
        <f>COUNT(rooms9[price_per_night])</f>
        <v>50</v>
      </c>
      <c r="N6" s="6">
        <f>COUNTIF(rooms9[room_status],"Available")</f>
        <v>35</v>
      </c>
      <c r="P6" s="6">
        <f>COUNTIF(rooms9[room_status],"Occupied")</f>
        <v>10</v>
      </c>
    </row>
    <row r="7" spans="1:16" x14ac:dyDescent="0.3">
      <c r="A7">
        <v>6</v>
      </c>
      <c r="B7">
        <v>202</v>
      </c>
      <c r="C7" t="s">
        <v>323</v>
      </c>
      <c r="D7">
        <v>4500</v>
      </c>
      <c r="E7" t="s">
        <v>324</v>
      </c>
      <c r="F7" t="s">
        <v>379</v>
      </c>
      <c r="G7" s="13" t="str">
        <f>IF(rooms9[[#This Row],[room_status]]="Available","Vecant","Not Available")</f>
        <v>Not Available</v>
      </c>
      <c r="H7" s="13" t="str">
        <f>IF(rooms9[[#This Row],[price_per_night]]&gt;3000,"Premium","Regular")</f>
        <v>Premium</v>
      </c>
      <c r="I7" s="13"/>
    </row>
    <row r="8" spans="1:16" x14ac:dyDescent="0.3">
      <c r="A8">
        <v>7</v>
      </c>
      <c r="B8">
        <v>203</v>
      </c>
      <c r="C8" t="s">
        <v>325</v>
      </c>
      <c r="D8">
        <v>6500</v>
      </c>
      <c r="E8" t="s">
        <v>319</v>
      </c>
      <c r="F8" t="s">
        <v>379</v>
      </c>
      <c r="G8" s="13" t="str">
        <f>IF(rooms9[[#This Row],[room_status]]="Available","Vecant","Not Available")</f>
        <v>Vecant</v>
      </c>
      <c r="H8" s="13" t="str">
        <f>IF(rooms9[[#This Row],[price_per_night]]&gt;3000,"Premium","Regular")</f>
        <v>Premium</v>
      </c>
      <c r="I8" s="13"/>
    </row>
    <row r="9" spans="1:16" x14ac:dyDescent="0.3">
      <c r="A9">
        <v>8</v>
      </c>
      <c r="B9">
        <v>204</v>
      </c>
      <c r="C9" t="s">
        <v>325</v>
      </c>
      <c r="D9">
        <v>6500</v>
      </c>
      <c r="E9" t="s">
        <v>320</v>
      </c>
      <c r="F9" t="s">
        <v>379</v>
      </c>
      <c r="G9" s="13" t="str">
        <f>IF(rooms9[[#This Row],[room_status]]="Available","Vecant","Not Available")</f>
        <v>Not Available</v>
      </c>
      <c r="H9" s="13" t="str">
        <f>IF(rooms9[[#This Row],[price_per_night]]&gt;3000,"Premium","Regular")</f>
        <v>Premium</v>
      </c>
      <c r="I9" s="13"/>
    </row>
    <row r="10" spans="1:16" x14ac:dyDescent="0.3">
      <c r="A10">
        <v>9</v>
      </c>
      <c r="B10">
        <v>301</v>
      </c>
      <c r="C10" t="s">
        <v>321</v>
      </c>
      <c r="D10">
        <v>2800</v>
      </c>
      <c r="E10" t="s">
        <v>319</v>
      </c>
      <c r="F10" t="s">
        <v>379</v>
      </c>
      <c r="G10" s="13" t="str">
        <f>IF(rooms9[[#This Row],[room_status]]="Available","Vecant","Not Available")</f>
        <v>Vecant</v>
      </c>
      <c r="H10" s="13" t="str">
        <f>IF(rooms9[[#This Row],[price_per_night]]&gt;3000,"Premium","Regular")</f>
        <v>Regular</v>
      </c>
      <c r="I10" s="13"/>
      <c r="K10" s="4" t="s">
        <v>380</v>
      </c>
      <c r="N10" s="7" t="s">
        <v>385</v>
      </c>
      <c r="P10" s="7" t="s">
        <v>386</v>
      </c>
    </row>
    <row r="11" spans="1:16" x14ac:dyDescent="0.3">
      <c r="A11">
        <v>10</v>
      </c>
      <c r="B11">
        <v>302</v>
      </c>
      <c r="C11" t="s">
        <v>323</v>
      </c>
      <c r="D11">
        <v>4200</v>
      </c>
      <c r="E11" t="s">
        <v>319</v>
      </c>
      <c r="F11" t="s">
        <v>379</v>
      </c>
      <c r="G11" s="13" t="str">
        <f>IF(rooms9[[#This Row],[room_status]]="Available","Vecant","Not Available")</f>
        <v>Vecant</v>
      </c>
      <c r="H11" s="13" t="str">
        <f>IF(rooms9[[#This Row],[price_per_night]]&gt;3000,"Premium","Regular")</f>
        <v>Premium</v>
      </c>
      <c r="I11" s="13"/>
      <c r="K11" s="6">
        <f>SUM(rooms9[price_per_night])</f>
        <v>198200</v>
      </c>
      <c r="N11" s="6">
        <f>SUMIF(rooms9[room_type],"Single",rooms9[price_per_night])</f>
        <v>19900</v>
      </c>
      <c r="P11" s="6">
        <f>SUMIF(rooms9[room_type],"Double",rooms9[price_per_night])</f>
        <v>43300</v>
      </c>
    </row>
    <row r="12" spans="1:16" x14ac:dyDescent="0.3">
      <c r="A12">
        <v>11</v>
      </c>
      <c r="B12">
        <v>303</v>
      </c>
      <c r="C12" t="s">
        <v>318</v>
      </c>
      <c r="D12">
        <v>1600</v>
      </c>
      <c r="E12" t="s">
        <v>319</v>
      </c>
      <c r="F12" t="s">
        <v>379</v>
      </c>
      <c r="G12" s="13" t="str">
        <f>IF(rooms9[[#This Row],[room_status]]="Available","Vecant","Not Available")</f>
        <v>Vecant</v>
      </c>
      <c r="H12" s="13" t="str">
        <f>IF(rooms9[[#This Row],[price_per_night]]&gt;3000,"Premium","Regular")</f>
        <v>Regular</v>
      </c>
      <c r="I12" s="13"/>
    </row>
    <row r="13" spans="1:16" x14ac:dyDescent="0.3">
      <c r="A13">
        <v>12</v>
      </c>
      <c r="B13">
        <v>304</v>
      </c>
      <c r="C13" t="s">
        <v>321</v>
      </c>
      <c r="D13">
        <v>2700</v>
      </c>
      <c r="E13" t="s">
        <v>319</v>
      </c>
      <c r="F13" t="s">
        <v>379</v>
      </c>
      <c r="G13" s="13" t="str">
        <f>IF(rooms9[[#This Row],[room_status]]="Available","Vecant","Not Available")</f>
        <v>Vecant</v>
      </c>
      <c r="H13" s="13" t="str">
        <f>IF(rooms9[[#This Row],[price_per_night]]&gt;3000,"Premium","Regular")</f>
        <v>Regular</v>
      </c>
      <c r="I13" s="13"/>
    </row>
    <row r="14" spans="1:16" x14ac:dyDescent="0.3">
      <c r="A14">
        <v>13</v>
      </c>
      <c r="B14">
        <v>305</v>
      </c>
      <c r="C14" t="s">
        <v>323</v>
      </c>
      <c r="D14">
        <v>4300</v>
      </c>
      <c r="E14" t="s">
        <v>320</v>
      </c>
      <c r="F14" t="s">
        <v>379</v>
      </c>
      <c r="G14" s="13" t="str">
        <f>IF(rooms9[[#This Row],[room_status]]="Available","Vecant","Not Available")</f>
        <v>Not Available</v>
      </c>
      <c r="H14" s="13" t="str">
        <f>IF(rooms9[[#This Row],[price_per_night]]&gt;3000,"Premium","Regular")</f>
        <v>Premium</v>
      </c>
      <c r="I14" s="13"/>
      <c r="K14" s="4" t="s">
        <v>382</v>
      </c>
      <c r="N14" s="7" t="s">
        <v>387</v>
      </c>
      <c r="P14" s="9" t="s">
        <v>388</v>
      </c>
    </row>
    <row r="15" spans="1:16" x14ac:dyDescent="0.3">
      <c r="A15">
        <v>14</v>
      </c>
      <c r="B15">
        <v>306</v>
      </c>
      <c r="C15" t="s">
        <v>325</v>
      </c>
      <c r="D15">
        <v>6800</v>
      </c>
      <c r="E15" t="s">
        <v>319</v>
      </c>
      <c r="F15" t="s">
        <v>379</v>
      </c>
      <c r="G15" s="13" t="str">
        <f>IF(rooms9[[#This Row],[room_status]]="Available","Vecant","Not Available")</f>
        <v>Vecant</v>
      </c>
      <c r="H15" s="13" t="str">
        <f>IF(rooms9[[#This Row],[price_per_night]]&gt;3000,"Premium","Regular")</f>
        <v>Premium</v>
      </c>
      <c r="I15" s="13"/>
      <c r="K15" s="6">
        <f>AVERAGE(rooms9[price_per_night])</f>
        <v>3964</v>
      </c>
      <c r="N15" s="8">
        <f>AVERAGEIF(rooms9[room_type],"Single",D2:D51)</f>
        <v>1658.3333333333333</v>
      </c>
      <c r="P15" s="8">
        <f>AVERAGEIF(rooms9[room_type],"Double",rooms9[price_per_night])</f>
        <v>2886.6666666666665</v>
      </c>
    </row>
    <row r="16" spans="1:16" x14ac:dyDescent="0.3">
      <c r="A16">
        <v>15</v>
      </c>
      <c r="B16">
        <v>307</v>
      </c>
      <c r="C16" t="s">
        <v>321</v>
      </c>
      <c r="D16">
        <v>2800</v>
      </c>
      <c r="E16" t="s">
        <v>324</v>
      </c>
      <c r="F16" t="s">
        <v>379</v>
      </c>
      <c r="G16" s="13" t="str">
        <f>IF(rooms9[[#This Row],[room_status]]="Available","Vecant","Not Available")</f>
        <v>Not Available</v>
      </c>
      <c r="H16" s="13" t="str">
        <f>IF(rooms9[[#This Row],[price_per_night]]&gt;3000,"Premium","Regular")</f>
        <v>Regular</v>
      </c>
      <c r="I16" s="13"/>
    </row>
    <row r="17" spans="1:16" x14ac:dyDescent="0.3">
      <c r="A17">
        <v>16</v>
      </c>
      <c r="B17">
        <v>308</v>
      </c>
      <c r="C17" t="s">
        <v>318</v>
      </c>
      <c r="D17">
        <v>1600</v>
      </c>
      <c r="E17" t="s">
        <v>319</v>
      </c>
      <c r="F17" t="s">
        <v>379</v>
      </c>
      <c r="G17" s="13" t="str">
        <f>IF(rooms9[[#This Row],[room_status]]="Available","Vecant","Not Available")</f>
        <v>Vecant</v>
      </c>
      <c r="H17" s="13" t="str">
        <f>IF(rooms9[[#This Row],[price_per_night]]&gt;3000,"Premium","Regular")</f>
        <v>Regular</v>
      </c>
      <c r="I17" s="13"/>
    </row>
    <row r="18" spans="1:16" x14ac:dyDescent="0.3">
      <c r="A18">
        <v>17</v>
      </c>
      <c r="B18">
        <v>309</v>
      </c>
      <c r="C18" t="s">
        <v>318</v>
      </c>
      <c r="D18">
        <v>1700</v>
      </c>
      <c r="E18" t="s">
        <v>319</v>
      </c>
      <c r="F18" t="s">
        <v>379</v>
      </c>
      <c r="G18" s="13" t="str">
        <f>IF(rooms9[[#This Row],[room_status]]="Available","Vecant","Not Available")</f>
        <v>Vecant</v>
      </c>
      <c r="H18" s="13" t="str">
        <f>IF(rooms9[[#This Row],[price_per_night]]&gt;3000,"Premium","Regular")</f>
        <v>Regular</v>
      </c>
      <c r="I18" s="13"/>
      <c r="K18" s="7" t="s">
        <v>393</v>
      </c>
      <c r="N18" s="7" t="s">
        <v>389</v>
      </c>
      <c r="P18" s="7" t="s">
        <v>390</v>
      </c>
    </row>
    <row r="19" spans="1:16" x14ac:dyDescent="0.3">
      <c r="A19">
        <v>18</v>
      </c>
      <c r="B19">
        <v>310</v>
      </c>
      <c r="C19" t="s">
        <v>321</v>
      </c>
      <c r="D19">
        <v>2700</v>
      </c>
      <c r="E19" t="s">
        <v>319</v>
      </c>
      <c r="F19" t="s">
        <v>379</v>
      </c>
      <c r="G19" s="13" t="str">
        <f>IF(rooms9[[#This Row],[room_status]]="Available","Vecant","Not Available")</f>
        <v>Vecant</v>
      </c>
      <c r="H19" s="13" t="str">
        <f>IF(rooms9[[#This Row],[price_per_night]]&gt;3000,"Premium","Regular")</f>
        <v>Regular</v>
      </c>
      <c r="I19" s="13"/>
      <c r="K19" s="6">
        <f>COUNTIFS(rooms9[room_type],"Single",rooms9[room_status],"Occupied")</f>
        <v>2</v>
      </c>
      <c r="N19" s="6">
        <f>COUNTIFS(rooms9[room_type],"Single",rooms9[room_status],"Available")</f>
        <v>9</v>
      </c>
      <c r="P19" s="6">
        <f>COUNTIFS(rooms9[room_type],"Double",rooms9[room_status],"Occupied")</f>
        <v>3</v>
      </c>
    </row>
    <row r="20" spans="1:16" x14ac:dyDescent="0.3">
      <c r="A20">
        <v>19</v>
      </c>
      <c r="B20">
        <v>311</v>
      </c>
      <c r="C20" t="s">
        <v>321</v>
      </c>
      <c r="D20">
        <v>2800</v>
      </c>
      <c r="E20" t="s">
        <v>320</v>
      </c>
      <c r="F20" t="s">
        <v>379</v>
      </c>
      <c r="G20" s="13" t="str">
        <f>IF(rooms9[[#This Row],[room_status]]="Available","Vecant","Not Available")</f>
        <v>Not Available</v>
      </c>
      <c r="H20" s="13" t="str">
        <f>IF(rooms9[[#This Row],[price_per_night]]&gt;3000,"Premium","Regular")</f>
        <v>Regular</v>
      </c>
      <c r="I20" s="13"/>
      <c r="K20" s="11"/>
    </row>
    <row r="21" spans="1:16" x14ac:dyDescent="0.3">
      <c r="A21">
        <v>20</v>
      </c>
      <c r="B21">
        <v>312</v>
      </c>
      <c r="C21" t="s">
        <v>323</v>
      </c>
      <c r="D21">
        <v>4300</v>
      </c>
      <c r="E21" t="s">
        <v>319</v>
      </c>
      <c r="F21" t="s">
        <v>379</v>
      </c>
      <c r="G21" s="13" t="str">
        <f>IF(rooms9[[#This Row],[room_status]]="Available","Vecant","Not Available")</f>
        <v>Vecant</v>
      </c>
      <c r="H21" s="13" t="str">
        <f>IF(rooms9[[#This Row],[price_per_night]]&gt;3000,"Premium","Regular")</f>
        <v>Premium</v>
      </c>
      <c r="I21" s="13"/>
    </row>
    <row r="22" spans="1:16" x14ac:dyDescent="0.3">
      <c r="A22">
        <v>21</v>
      </c>
      <c r="B22">
        <v>313</v>
      </c>
      <c r="C22" t="s">
        <v>325</v>
      </c>
      <c r="D22">
        <v>6800</v>
      </c>
      <c r="E22" t="s">
        <v>319</v>
      </c>
      <c r="F22" t="s">
        <v>379</v>
      </c>
      <c r="G22" s="13" t="str">
        <f>IF(rooms9[[#This Row],[room_status]]="Available","Vecant","Not Available")</f>
        <v>Vecant</v>
      </c>
      <c r="H22" s="13" t="str">
        <f>IF(rooms9[[#This Row],[price_per_night]]&gt;3000,"Premium","Regular")</f>
        <v>Premium</v>
      </c>
      <c r="I22" s="13"/>
      <c r="N22" s="7" t="s">
        <v>391</v>
      </c>
      <c r="P22" s="10" t="s">
        <v>392</v>
      </c>
    </row>
    <row r="23" spans="1:16" x14ac:dyDescent="0.3">
      <c r="A23">
        <v>22</v>
      </c>
      <c r="B23">
        <v>314</v>
      </c>
      <c r="C23" t="s">
        <v>318</v>
      </c>
      <c r="D23">
        <v>1500</v>
      </c>
      <c r="E23" t="s">
        <v>324</v>
      </c>
      <c r="F23" t="s">
        <v>379</v>
      </c>
      <c r="G23" s="13" t="str">
        <f>IF(rooms9[[#This Row],[room_status]]="Available","Vecant","Not Available")</f>
        <v>Not Available</v>
      </c>
      <c r="H23" s="13" t="str">
        <f>IF(rooms9[[#This Row],[price_per_night]]&gt;3000,"Premium","Regular")</f>
        <v>Regular</v>
      </c>
      <c r="I23" s="13"/>
      <c r="N23" s="6">
        <f>SUMIFS(rooms9[price_per_night],rooms9[room_type],"Single",rooms9[room_status],"Available")</f>
        <v>15150</v>
      </c>
      <c r="P23" s="6">
        <f>SUMIFS(rooms9[price_per_night],rooms9[room_type],"Double",rooms9[room_status],"Occupied")</f>
        <v>8400</v>
      </c>
    </row>
    <row r="24" spans="1:16" x14ac:dyDescent="0.3">
      <c r="A24">
        <v>23</v>
      </c>
      <c r="B24">
        <v>315</v>
      </c>
      <c r="C24" t="s">
        <v>321</v>
      </c>
      <c r="D24">
        <v>2900</v>
      </c>
      <c r="E24" t="s">
        <v>319</v>
      </c>
      <c r="F24" t="s">
        <v>379</v>
      </c>
      <c r="G24" s="13" t="str">
        <f>IF(rooms9[[#This Row],[room_status]]="Available","Vecant","Not Available")</f>
        <v>Vecant</v>
      </c>
      <c r="H24" s="13" t="str">
        <f>IF(rooms9[[#This Row],[price_per_night]]&gt;3000,"Premium","Regular")</f>
        <v>Regular</v>
      </c>
      <c r="I24" s="13"/>
    </row>
    <row r="25" spans="1:16" x14ac:dyDescent="0.3">
      <c r="A25">
        <v>24</v>
      </c>
      <c r="B25">
        <v>316</v>
      </c>
      <c r="C25" t="s">
        <v>323</v>
      </c>
      <c r="D25">
        <v>4500</v>
      </c>
      <c r="E25" t="s">
        <v>320</v>
      </c>
      <c r="F25" t="s">
        <v>379</v>
      </c>
      <c r="G25" s="13" t="str">
        <f>IF(rooms9[[#This Row],[room_status]]="Available","Vecant","Not Available")</f>
        <v>Not Available</v>
      </c>
      <c r="H25" s="13" t="str">
        <f>IF(rooms9[[#This Row],[price_per_night]]&gt;3000,"Premium","Regular")</f>
        <v>Premium</v>
      </c>
      <c r="I25" s="13"/>
      <c r="K25" s="12"/>
    </row>
    <row r="26" spans="1:16" x14ac:dyDescent="0.3">
      <c r="A26">
        <v>25</v>
      </c>
      <c r="B26">
        <v>317</v>
      </c>
      <c r="C26" t="s">
        <v>325</v>
      </c>
      <c r="D26">
        <v>7000</v>
      </c>
      <c r="E26" t="s">
        <v>319</v>
      </c>
      <c r="F26" t="s">
        <v>379</v>
      </c>
      <c r="G26" s="13" t="str">
        <f>IF(rooms9[[#This Row],[room_status]]="Available","Vecant","Not Available")</f>
        <v>Vecant</v>
      </c>
      <c r="H26" s="13" t="str">
        <f>IF(rooms9[[#This Row],[price_per_night]]&gt;3000,"Premium","Regular")</f>
        <v>Premium</v>
      </c>
      <c r="I26" s="13"/>
      <c r="K26" s="7" t="s">
        <v>396</v>
      </c>
      <c r="M26" s="3" t="s">
        <v>398</v>
      </c>
    </row>
    <row r="27" spans="1:16" x14ac:dyDescent="0.3">
      <c r="A27">
        <v>26</v>
      </c>
      <c r="B27">
        <v>318</v>
      </c>
      <c r="C27" t="s">
        <v>318</v>
      </c>
      <c r="D27">
        <v>1650</v>
      </c>
      <c r="E27" t="s">
        <v>319</v>
      </c>
      <c r="F27" t="s">
        <v>379</v>
      </c>
      <c r="G27" s="13" t="str">
        <f>IF(rooms9[[#This Row],[room_status]]="Available","Vecant","Not Available")</f>
        <v>Vecant</v>
      </c>
      <c r="H27" s="13" t="str">
        <f>IF(rooms9[[#This Row],[price_per_night]]&gt;3000,"Premium","Regular")</f>
        <v>Regular</v>
      </c>
      <c r="I27" s="13"/>
      <c r="K27" s="6" t="str">
        <f>IF(AND(D2&gt;3000,E2="Available"),"Eligible","Not Eligible" )</f>
        <v>Not Eligible</v>
      </c>
      <c r="M27" t="str">
        <f>IFERROR(1/0,"Invalid")</f>
        <v>Invalid</v>
      </c>
    </row>
    <row r="28" spans="1:16" x14ac:dyDescent="0.3">
      <c r="A28">
        <v>27</v>
      </c>
      <c r="B28">
        <v>319</v>
      </c>
      <c r="C28" t="s">
        <v>321</v>
      </c>
      <c r="D28">
        <v>2750</v>
      </c>
      <c r="E28" t="s">
        <v>319</v>
      </c>
      <c r="F28" t="s">
        <v>379</v>
      </c>
      <c r="G28" s="13" t="str">
        <f>IF(rooms9[[#This Row],[room_status]]="Available","Vecant","Not Available")</f>
        <v>Vecant</v>
      </c>
      <c r="H28" s="13" t="str">
        <f>IF(rooms9[[#This Row],[price_per_night]]&gt;3000,"Premium","Regular")</f>
        <v>Regular</v>
      </c>
      <c r="I28" s="13"/>
    </row>
    <row r="29" spans="1:16" x14ac:dyDescent="0.3">
      <c r="A29">
        <v>28</v>
      </c>
      <c r="B29">
        <v>320</v>
      </c>
      <c r="C29" t="s">
        <v>323</v>
      </c>
      <c r="D29">
        <v>4400</v>
      </c>
      <c r="E29" t="s">
        <v>319</v>
      </c>
      <c r="F29" t="s">
        <v>379</v>
      </c>
      <c r="G29" s="13" t="str">
        <f>IF(rooms9[[#This Row],[room_status]]="Available","Vecant","Not Available")</f>
        <v>Vecant</v>
      </c>
      <c r="H29" s="13" t="str">
        <f>IF(rooms9[[#This Row],[price_per_night]]&gt;3000,"Premium","Regular")</f>
        <v>Premium</v>
      </c>
      <c r="I29" s="13"/>
      <c r="K29" s="7" t="s">
        <v>397</v>
      </c>
    </row>
    <row r="30" spans="1:16" x14ac:dyDescent="0.3">
      <c r="A30">
        <v>29</v>
      </c>
      <c r="B30">
        <v>321</v>
      </c>
      <c r="C30" t="s">
        <v>325</v>
      </c>
      <c r="D30">
        <v>7200</v>
      </c>
      <c r="E30" t="s">
        <v>320</v>
      </c>
      <c r="F30" t="s">
        <v>379</v>
      </c>
      <c r="G30" s="13" t="str">
        <f>IF(rooms9[[#This Row],[room_status]]="Available","Vecant","Not Available")</f>
        <v>Not Available</v>
      </c>
      <c r="H30" s="13" t="str">
        <f>IF(rooms9[[#This Row],[price_per_night]]&gt;3000,"Premium","Regular")</f>
        <v>Premium</v>
      </c>
      <c r="I30" s="13"/>
      <c r="K30" s="6" t="str">
        <f>IF(OR(D7&gt;4000,E6="Maintenance"),"Priority","Normal")</f>
        <v>Priority</v>
      </c>
    </row>
    <row r="31" spans="1:16" x14ac:dyDescent="0.3">
      <c r="A31">
        <v>30</v>
      </c>
      <c r="B31">
        <v>322</v>
      </c>
      <c r="C31" t="s">
        <v>318</v>
      </c>
      <c r="D31">
        <v>1550</v>
      </c>
      <c r="E31" t="s">
        <v>319</v>
      </c>
      <c r="F31" t="s">
        <v>379</v>
      </c>
      <c r="G31" s="13" t="str">
        <f>IF(rooms9[[#This Row],[room_status]]="Available","Vecant","Not Available")</f>
        <v>Vecant</v>
      </c>
      <c r="H31" s="13" t="str">
        <f>IF(rooms9[[#This Row],[price_per_night]]&gt;3000,"Premium","Regular")</f>
        <v>Regular</v>
      </c>
      <c r="I31" s="13"/>
    </row>
    <row r="32" spans="1:16" x14ac:dyDescent="0.3">
      <c r="A32">
        <v>31</v>
      </c>
      <c r="B32">
        <v>323</v>
      </c>
      <c r="C32" t="s">
        <v>321</v>
      </c>
      <c r="D32">
        <v>2850</v>
      </c>
      <c r="E32" t="s">
        <v>324</v>
      </c>
      <c r="F32" t="s">
        <v>379</v>
      </c>
      <c r="G32" s="13" t="str">
        <f>IF(rooms9[[#This Row],[room_status]]="Available","Vecant","Not Available")</f>
        <v>Not Available</v>
      </c>
      <c r="H32" s="13" t="str">
        <f>IF(rooms9[[#This Row],[price_per_night]]&gt;3000,"Premium","Regular")</f>
        <v>Regular</v>
      </c>
      <c r="I32" s="13"/>
    </row>
    <row r="33" spans="1:11" x14ac:dyDescent="0.3">
      <c r="A33">
        <v>32</v>
      </c>
      <c r="B33">
        <v>324</v>
      </c>
      <c r="C33" t="s">
        <v>323</v>
      </c>
      <c r="D33">
        <v>4600</v>
      </c>
      <c r="E33" t="s">
        <v>319</v>
      </c>
      <c r="F33" t="s">
        <v>379</v>
      </c>
      <c r="G33" s="13" t="str">
        <f>IF(rooms9[[#This Row],[room_status]]="Available","Vecant","Not Available")</f>
        <v>Vecant</v>
      </c>
      <c r="H33" s="13" t="str">
        <f>IF(rooms9[[#This Row],[price_per_night]]&gt;3000,"Premium","Regular")</f>
        <v>Premium</v>
      </c>
      <c r="I33" s="13"/>
      <c r="K33" s="3"/>
    </row>
    <row r="34" spans="1:11" x14ac:dyDescent="0.3">
      <c r="A34">
        <v>33</v>
      </c>
      <c r="B34">
        <v>325</v>
      </c>
      <c r="C34" t="s">
        <v>325</v>
      </c>
      <c r="D34">
        <v>7500</v>
      </c>
      <c r="E34" t="s">
        <v>319</v>
      </c>
      <c r="F34" t="s">
        <v>379</v>
      </c>
      <c r="G34" s="13" t="str">
        <f>IF(rooms9[[#This Row],[room_status]]="Available","Vecant","Not Available")</f>
        <v>Vecant</v>
      </c>
      <c r="H34" s="13" t="str">
        <f>IF(rooms9[[#This Row],[price_per_night]]&gt;3000,"Premium","Regular")</f>
        <v>Premium</v>
      </c>
      <c r="I34" s="13"/>
    </row>
    <row r="35" spans="1:11" x14ac:dyDescent="0.3">
      <c r="A35">
        <v>34</v>
      </c>
      <c r="B35">
        <v>326</v>
      </c>
      <c r="C35" t="s">
        <v>318</v>
      </c>
      <c r="D35">
        <v>1750</v>
      </c>
      <c r="E35" t="s">
        <v>320</v>
      </c>
      <c r="F35" t="s">
        <v>379</v>
      </c>
      <c r="G35" s="13" t="str">
        <f>IF(rooms9[[#This Row],[room_status]]="Available","Vecant","Not Available")</f>
        <v>Not Available</v>
      </c>
      <c r="H35" s="13" t="str">
        <f>IF(rooms9[[#This Row],[price_per_night]]&gt;3000,"Premium","Regular")</f>
        <v>Regular</v>
      </c>
      <c r="I35" s="13"/>
    </row>
    <row r="36" spans="1:11" x14ac:dyDescent="0.3">
      <c r="A36">
        <v>35</v>
      </c>
      <c r="B36">
        <v>327</v>
      </c>
      <c r="C36" t="s">
        <v>321</v>
      </c>
      <c r="D36">
        <v>3000</v>
      </c>
      <c r="E36" t="s">
        <v>319</v>
      </c>
      <c r="F36" t="s">
        <v>379</v>
      </c>
      <c r="G36" s="13" t="str">
        <f>IF(rooms9[[#This Row],[room_status]]="Available","Vecant","Not Available")</f>
        <v>Vecant</v>
      </c>
      <c r="H36" s="13" t="str">
        <f>IF(rooms9[[#This Row],[price_per_night]]&gt;3000,"Premium","Regular")</f>
        <v>Regular</v>
      </c>
      <c r="I36" s="13"/>
    </row>
    <row r="37" spans="1:11" x14ac:dyDescent="0.3">
      <c r="A37">
        <v>36</v>
      </c>
      <c r="B37">
        <v>328</v>
      </c>
      <c r="C37" t="s">
        <v>323</v>
      </c>
      <c r="D37">
        <v>4700</v>
      </c>
      <c r="E37" t="s">
        <v>319</v>
      </c>
      <c r="F37" t="s">
        <v>379</v>
      </c>
      <c r="G37" s="13" t="str">
        <f>IF(rooms9[[#This Row],[room_status]]="Available","Vecant","Not Available")</f>
        <v>Vecant</v>
      </c>
      <c r="H37" s="13" t="str">
        <f>IF(rooms9[[#This Row],[price_per_night]]&gt;3000,"Premium","Regular")</f>
        <v>Premium</v>
      </c>
      <c r="I37" s="13"/>
    </row>
    <row r="38" spans="1:11" x14ac:dyDescent="0.3">
      <c r="A38">
        <v>37</v>
      </c>
      <c r="B38">
        <v>329</v>
      </c>
      <c r="C38" t="s">
        <v>325</v>
      </c>
      <c r="D38">
        <v>7800</v>
      </c>
      <c r="E38" t="s">
        <v>319</v>
      </c>
      <c r="F38" t="s">
        <v>379</v>
      </c>
      <c r="G38" s="13" t="str">
        <f>IF(rooms9[[#This Row],[room_status]]="Available","Vecant","Not Available")</f>
        <v>Vecant</v>
      </c>
      <c r="H38" s="13" t="str">
        <f>IF(rooms9[[#This Row],[price_per_night]]&gt;3000,"Premium","Regular")</f>
        <v>Premium</v>
      </c>
      <c r="I38" s="13"/>
    </row>
    <row r="39" spans="1:11" x14ac:dyDescent="0.3">
      <c r="A39">
        <v>38</v>
      </c>
      <c r="B39">
        <v>330</v>
      </c>
      <c r="C39" t="s">
        <v>318</v>
      </c>
      <c r="D39">
        <v>1800</v>
      </c>
      <c r="E39" t="s">
        <v>319</v>
      </c>
      <c r="F39" t="s">
        <v>379</v>
      </c>
      <c r="G39" s="13" t="str">
        <f>IF(rooms9[[#This Row],[room_status]]="Available","Vecant","Not Available")</f>
        <v>Vecant</v>
      </c>
      <c r="H39" s="13" t="str">
        <f>IF(rooms9[[#This Row],[price_per_night]]&gt;3000,"Premium","Regular")</f>
        <v>Regular</v>
      </c>
      <c r="I39" s="13"/>
    </row>
    <row r="40" spans="1:11" x14ac:dyDescent="0.3">
      <c r="A40">
        <v>39</v>
      </c>
      <c r="B40">
        <v>331</v>
      </c>
      <c r="C40" t="s">
        <v>321</v>
      </c>
      <c r="D40">
        <v>3100</v>
      </c>
      <c r="E40" t="s">
        <v>320</v>
      </c>
      <c r="F40" t="s">
        <v>379</v>
      </c>
      <c r="G40" s="13" t="str">
        <f>IF(rooms9[[#This Row],[room_status]]="Available","Vecant","Not Available")</f>
        <v>Not Available</v>
      </c>
      <c r="H40" s="13" t="str">
        <f>IF(rooms9[[#This Row],[price_per_night]]&gt;3000,"Premium","Regular")</f>
        <v>Premium</v>
      </c>
      <c r="I40" s="13"/>
    </row>
    <row r="41" spans="1:11" x14ac:dyDescent="0.3">
      <c r="A41">
        <v>40</v>
      </c>
      <c r="B41">
        <v>332</v>
      </c>
      <c r="C41" t="s">
        <v>323</v>
      </c>
      <c r="D41">
        <v>4800</v>
      </c>
      <c r="E41" t="s">
        <v>319</v>
      </c>
      <c r="F41" t="s">
        <v>379</v>
      </c>
      <c r="G41" s="13" t="str">
        <f>IF(rooms9[[#This Row],[room_status]]="Available","Vecant","Not Available")</f>
        <v>Vecant</v>
      </c>
      <c r="H41" s="13" t="str">
        <f>IF(rooms9[[#This Row],[price_per_night]]&gt;3000,"Premium","Regular")</f>
        <v>Premium</v>
      </c>
      <c r="I41" s="13"/>
    </row>
    <row r="42" spans="1:11" x14ac:dyDescent="0.3">
      <c r="A42">
        <v>41</v>
      </c>
      <c r="B42">
        <v>333</v>
      </c>
      <c r="C42" t="s">
        <v>325</v>
      </c>
      <c r="D42">
        <v>8000</v>
      </c>
      <c r="E42" t="s">
        <v>319</v>
      </c>
      <c r="F42" t="s">
        <v>379</v>
      </c>
      <c r="G42" s="13" t="str">
        <f>IF(rooms9[[#This Row],[room_status]]="Available","Vecant","Not Available")</f>
        <v>Vecant</v>
      </c>
      <c r="H42" s="13" t="str">
        <f>IF(rooms9[[#This Row],[price_per_night]]&gt;3000,"Premium","Regular")</f>
        <v>Premium</v>
      </c>
      <c r="I42" s="13"/>
    </row>
    <row r="43" spans="1:11" x14ac:dyDescent="0.3">
      <c r="A43">
        <v>42</v>
      </c>
      <c r="B43">
        <v>334</v>
      </c>
      <c r="C43" t="s">
        <v>318</v>
      </c>
      <c r="D43">
        <v>1850</v>
      </c>
      <c r="E43" t="s">
        <v>319</v>
      </c>
      <c r="F43" t="s">
        <v>379</v>
      </c>
      <c r="G43" s="13" t="str">
        <f>IF(rooms9[[#This Row],[room_status]]="Available","Vecant","Not Available")</f>
        <v>Vecant</v>
      </c>
      <c r="H43" s="13" t="str">
        <f>IF(rooms9[[#This Row],[price_per_night]]&gt;3000,"Premium","Regular")</f>
        <v>Regular</v>
      </c>
      <c r="I43" s="13"/>
    </row>
    <row r="44" spans="1:11" x14ac:dyDescent="0.3">
      <c r="A44">
        <v>43</v>
      </c>
      <c r="B44">
        <v>335</v>
      </c>
      <c r="C44" t="s">
        <v>321</v>
      </c>
      <c r="D44">
        <v>3200</v>
      </c>
      <c r="E44" t="s">
        <v>319</v>
      </c>
      <c r="F44" t="s">
        <v>379</v>
      </c>
      <c r="G44" s="13" t="str">
        <f>IF(rooms9[[#This Row],[room_status]]="Available","Vecant","Not Available")</f>
        <v>Vecant</v>
      </c>
      <c r="H44" s="13" t="str">
        <f>IF(rooms9[[#This Row],[price_per_night]]&gt;3000,"Premium","Regular")</f>
        <v>Premium</v>
      </c>
      <c r="I44" s="13"/>
    </row>
    <row r="45" spans="1:11" x14ac:dyDescent="0.3">
      <c r="A45">
        <v>44</v>
      </c>
      <c r="B45">
        <v>336</v>
      </c>
      <c r="C45" t="s">
        <v>323</v>
      </c>
      <c r="D45">
        <v>4900</v>
      </c>
      <c r="E45" t="s">
        <v>324</v>
      </c>
      <c r="F45" t="s">
        <v>379</v>
      </c>
      <c r="G45" s="13" t="str">
        <f>IF(rooms9[[#This Row],[room_status]]="Available","Vecant","Not Available")</f>
        <v>Not Available</v>
      </c>
      <c r="H45" s="13" t="str">
        <f>IF(rooms9[[#This Row],[price_per_night]]&gt;3000,"Premium","Regular")</f>
        <v>Premium</v>
      </c>
      <c r="I45" s="13"/>
    </row>
    <row r="46" spans="1:11" x14ac:dyDescent="0.3">
      <c r="A46">
        <v>45</v>
      </c>
      <c r="B46">
        <v>337</v>
      </c>
      <c r="C46" t="s">
        <v>325</v>
      </c>
      <c r="D46">
        <v>8200</v>
      </c>
      <c r="E46" t="s">
        <v>319</v>
      </c>
      <c r="F46" t="s">
        <v>379</v>
      </c>
      <c r="G46" s="13" t="str">
        <f>IF(rooms9[[#This Row],[room_status]]="Available","Vecant","Not Available")</f>
        <v>Vecant</v>
      </c>
      <c r="H46" s="13" t="str">
        <f>IF(rooms9[[#This Row],[price_per_night]]&gt;3000,"Premium","Regular")</f>
        <v>Premium</v>
      </c>
      <c r="I46" s="13"/>
    </row>
    <row r="47" spans="1:11" x14ac:dyDescent="0.3">
      <c r="A47">
        <v>46</v>
      </c>
      <c r="B47">
        <v>338</v>
      </c>
      <c r="C47" t="s">
        <v>318</v>
      </c>
      <c r="D47">
        <v>1900</v>
      </c>
      <c r="E47" t="s">
        <v>319</v>
      </c>
      <c r="F47" t="s">
        <v>379</v>
      </c>
      <c r="G47" s="13" t="str">
        <f>IF(rooms9[[#This Row],[room_status]]="Available","Vecant","Not Available")</f>
        <v>Vecant</v>
      </c>
      <c r="H47" s="13" t="str">
        <f>IF(rooms9[[#This Row],[price_per_night]]&gt;3000,"Premium","Regular")</f>
        <v>Regular</v>
      </c>
      <c r="I47" s="13"/>
    </row>
    <row r="48" spans="1:11" x14ac:dyDescent="0.3">
      <c r="A48">
        <v>47</v>
      </c>
      <c r="B48">
        <v>339</v>
      </c>
      <c r="C48" t="s">
        <v>321</v>
      </c>
      <c r="D48">
        <v>3300</v>
      </c>
      <c r="E48" t="s">
        <v>319</v>
      </c>
      <c r="F48" t="s">
        <v>379</v>
      </c>
      <c r="G48" s="13" t="str">
        <f>IF(rooms9[[#This Row],[room_status]]="Available","Vecant","Not Available")</f>
        <v>Vecant</v>
      </c>
      <c r="H48" s="13" t="str">
        <f>IF(rooms9[[#This Row],[price_per_night]]&gt;3000,"Premium","Regular")</f>
        <v>Premium</v>
      </c>
      <c r="I48" s="13"/>
    </row>
    <row r="49" spans="1:9" x14ac:dyDescent="0.3">
      <c r="A49">
        <v>48</v>
      </c>
      <c r="B49">
        <v>340</v>
      </c>
      <c r="C49" t="s">
        <v>323</v>
      </c>
      <c r="D49">
        <v>5000</v>
      </c>
      <c r="E49" t="s">
        <v>320</v>
      </c>
      <c r="F49" t="s">
        <v>379</v>
      </c>
      <c r="G49" s="13" t="str">
        <f>IF(rooms9[[#This Row],[room_status]]="Available","Vecant","Not Available")</f>
        <v>Not Available</v>
      </c>
      <c r="H49" s="13" t="str">
        <f>IF(rooms9[[#This Row],[price_per_night]]&gt;3000,"Premium","Regular")</f>
        <v>Premium</v>
      </c>
      <c r="I49" s="13"/>
    </row>
    <row r="50" spans="1:9" x14ac:dyDescent="0.3">
      <c r="A50">
        <v>49</v>
      </c>
      <c r="B50">
        <v>341</v>
      </c>
      <c r="C50" t="s">
        <v>325</v>
      </c>
      <c r="D50">
        <v>8500</v>
      </c>
      <c r="E50" t="s">
        <v>319</v>
      </c>
      <c r="F50" t="s">
        <v>379</v>
      </c>
      <c r="G50" s="13" t="str">
        <f>IF(rooms9[[#This Row],[room_status]]="Available","Vecant","Not Available")</f>
        <v>Vecant</v>
      </c>
      <c r="H50" s="13" t="str">
        <f>IF(rooms9[[#This Row],[price_per_night]]&gt;3000,"Premium","Regular")</f>
        <v>Premium</v>
      </c>
      <c r="I50" s="13"/>
    </row>
    <row r="51" spans="1:9" x14ac:dyDescent="0.3">
      <c r="A51">
        <v>50</v>
      </c>
      <c r="B51">
        <v>342</v>
      </c>
      <c r="C51" t="s">
        <v>321</v>
      </c>
      <c r="D51">
        <v>3400</v>
      </c>
      <c r="E51" t="s">
        <v>319</v>
      </c>
      <c r="F51" t="s">
        <v>379</v>
      </c>
      <c r="G51" s="13" t="str">
        <f>IF(rooms9[[#This Row],[room_status]]="Available","Vecant","Not Available")</f>
        <v>Vecant</v>
      </c>
      <c r="H51" s="13" t="str">
        <f>IF(rooms9[[#This Row],[price_per_night]]&gt;3000,"Premium","Regular")</f>
        <v>Premium</v>
      </c>
      <c r="I51" s="13"/>
    </row>
  </sheetData>
  <conditionalFormatting sqref="B1:B1048576">
    <cfRule type="duplicateValues" dxfId="13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55BFA-3CFA-43D4-8553-7AD3E93E76FA}">
  <dimension ref="A1:F51"/>
  <sheetViews>
    <sheetView workbookViewId="0">
      <selection activeCell="H1" sqref="H1"/>
    </sheetView>
  </sheetViews>
  <sheetFormatPr defaultRowHeight="14.4" x14ac:dyDescent="0.3"/>
  <cols>
    <col min="1" max="1" width="10" bestFit="1" customWidth="1"/>
    <col min="2" max="2" width="14.77734375" bestFit="1" customWidth="1"/>
    <col min="3" max="3" width="12" bestFit="1" customWidth="1"/>
    <col min="4" max="4" width="16.109375" bestFit="1" customWidth="1"/>
    <col min="5" max="5" width="13.44140625" bestFit="1" customWidth="1"/>
    <col min="6" max="6" width="17.77734375" bestFit="1" customWidth="1"/>
  </cols>
  <sheetData>
    <row r="1" spans="1:6" x14ac:dyDescent="0.3">
      <c r="A1" t="s">
        <v>312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</row>
    <row r="2" spans="1:6" x14ac:dyDescent="0.3">
      <c r="A2">
        <v>1</v>
      </c>
      <c r="B2">
        <v>101</v>
      </c>
      <c r="C2" t="s">
        <v>318</v>
      </c>
      <c r="D2">
        <v>1500</v>
      </c>
      <c r="E2" t="s">
        <v>319</v>
      </c>
    </row>
    <row r="3" spans="1:6" x14ac:dyDescent="0.3">
      <c r="A3">
        <v>2</v>
      </c>
      <c r="B3">
        <v>102</v>
      </c>
      <c r="C3" t="s">
        <v>318</v>
      </c>
      <c r="D3">
        <v>1500</v>
      </c>
      <c r="E3" t="s">
        <v>320</v>
      </c>
    </row>
    <row r="4" spans="1:6" x14ac:dyDescent="0.3">
      <c r="A4">
        <v>3</v>
      </c>
      <c r="B4">
        <v>103</v>
      </c>
      <c r="C4" t="s">
        <v>321</v>
      </c>
      <c r="D4">
        <v>2500</v>
      </c>
      <c r="E4" t="s">
        <v>319</v>
      </c>
      <c r="F4" t="s">
        <v>322</v>
      </c>
    </row>
    <row r="5" spans="1:6" x14ac:dyDescent="0.3">
      <c r="A5">
        <v>4</v>
      </c>
      <c r="B5">
        <v>104</v>
      </c>
      <c r="C5" t="s">
        <v>321</v>
      </c>
      <c r="D5">
        <v>2500</v>
      </c>
      <c r="E5" t="s">
        <v>320</v>
      </c>
    </row>
    <row r="6" spans="1:6" x14ac:dyDescent="0.3">
      <c r="A6">
        <v>5</v>
      </c>
      <c r="B6">
        <v>201</v>
      </c>
      <c r="C6" t="s">
        <v>323</v>
      </c>
      <c r="D6">
        <v>4000</v>
      </c>
      <c r="E6" t="s">
        <v>319</v>
      </c>
    </row>
    <row r="7" spans="1:6" x14ac:dyDescent="0.3">
      <c r="A7">
        <v>6</v>
      </c>
      <c r="B7">
        <v>202</v>
      </c>
      <c r="C7" t="s">
        <v>323</v>
      </c>
      <c r="D7">
        <v>4500</v>
      </c>
      <c r="E7" t="s">
        <v>324</v>
      </c>
    </row>
    <row r="8" spans="1:6" x14ac:dyDescent="0.3">
      <c r="A8">
        <v>7</v>
      </c>
      <c r="B8">
        <v>203</v>
      </c>
      <c r="C8" t="s">
        <v>325</v>
      </c>
      <c r="D8">
        <v>6500</v>
      </c>
      <c r="E8" t="s">
        <v>319</v>
      </c>
    </row>
    <row r="9" spans="1:6" x14ac:dyDescent="0.3">
      <c r="A9">
        <v>8</v>
      </c>
      <c r="B9">
        <v>204</v>
      </c>
      <c r="C9" t="s">
        <v>325</v>
      </c>
      <c r="D9">
        <v>6500</v>
      </c>
      <c r="E9" t="s">
        <v>320</v>
      </c>
    </row>
    <row r="10" spans="1:6" x14ac:dyDescent="0.3">
      <c r="A10">
        <v>9</v>
      </c>
      <c r="B10">
        <v>301</v>
      </c>
      <c r="C10" t="s">
        <v>321</v>
      </c>
      <c r="D10">
        <v>2800</v>
      </c>
      <c r="E10" t="s">
        <v>319</v>
      </c>
    </row>
    <row r="11" spans="1:6" x14ac:dyDescent="0.3">
      <c r="A11">
        <v>10</v>
      </c>
      <c r="B11">
        <v>302</v>
      </c>
      <c r="C11" t="s">
        <v>323</v>
      </c>
      <c r="D11">
        <v>4200</v>
      </c>
      <c r="E11" t="s">
        <v>319</v>
      </c>
    </row>
    <row r="12" spans="1:6" x14ac:dyDescent="0.3">
      <c r="A12">
        <v>11</v>
      </c>
      <c r="B12">
        <v>303</v>
      </c>
      <c r="C12" t="s">
        <v>318</v>
      </c>
      <c r="D12">
        <v>1600</v>
      </c>
      <c r="E12" t="s">
        <v>319</v>
      </c>
    </row>
    <row r="13" spans="1:6" x14ac:dyDescent="0.3">
      <c r="A13">
        <v>12</v>
      </c>
      <c r="B13">
        <v>304</v>
      </c>
      <c r="C13" t="s">
        <v>321</v>
      </c>
      <c r="D13">
        <v>2700</v>
      </c>
      <c r="E13" t="s">
        <v>319</v>
      </c>
    </row>
    <row r="14" spans="1:6" x14ac:dyDescent="0.3">
      <c r="A14">
        <v>13</v>
      </c>
      <c r="B14">
        <v>305</v>
      </c>
      <c r="C14" t="s">
        <v>323</v>
      </c>
      <c r="D14">
        <v>4300</v>
      </c>
      <c r="E14" t="s">
        <v>320</v>
      </c>
    </row>
    <row r="15" spans="1:6" x14ac:dyDescent="0.3">
      <c r="A15">
        <v>14</v>
      </c>
      <c r="B15">
        <v>306</v>
      </c>
      <c r="C15" t="s">
        <v>325</v>
      </c>
      <c r="D15">
        <v>6800</v>
      </c>
      <c r="E15" t="s">
        <v>319</v>
      </c>
    </row>
    <row r="16" spans="1:6" x14ac:dyDescent="0.3">
      <c r="A16">
        <v>15</v>
      </c>
      <c r="B16">
        <v>307</v>
      </c>
      <c r="C16" t="s">
        <v>321</v>
      </c>
      <c r="D16">
        <v>2800</v>
      </c>
      <c r="E16" t="s">
        <v>324</v>
      </c>
    </row>
    <row r="17" spans="1:5" x14ac:dyDescent="0.3">
      <c r="A17">
        <v>16</v>
      </c>
      <c r="B17">
        <v>308</v>
      </c>
      <c r="C17" t="s">
        <v>318</v>
      </c>
      <c r="D17">
        <v>1600</v>
      </c>
      <c r="E17" t="s">
        <v>319</v>
      </c>
    </row>
    <row r="18" spans="1:5" x14ac:dyDescent="0.3">
      <c r="A18">
        <v>17</v>
      </c>
      <c r="B18">
        <v>309</v>
      </c>
      <c r="C18" t="s">
        <v>318</v>
      </c>
      <c r="D18">
        <v>1700</v>
      </c>
      <c r="E18" t="s">
        <v>319</v>
      </c>
    </row>
    <row r="19" spans="1:5" x14ac:dyDescent="0.3">
      <c r="A19">
        <v>18</v>
      </c>
      <c r="B19">
        <v>310</v>
      </c>
      <c r="C19" t="s">
        <v>321</v>
      </c>
      <c r="D19">
        <v>2700</v>
      </c>
      <c r="E19" t="s">
        <v>319</v>
      </c>
    </row>
    <row r="20" spans="1:5" x14ac:dyDescent="0.3">
      <c r="A20">
        <v>19</v>
      </c>
      <c r="B20">
        <v>311</v>
      </c>
      <c r="C20" t="s">
        <v>321</v>
      </c>
      <c r="D20">
        <v>2800</v>
      </c>
      <c r="E20" t="s">
        <v>320</v>
      </c>
    </row>
    <row r="21" spans="1:5" x14ac:dyDescent="0.3">
      <c r="A21">
        <v>20</v>
      </c>
      <c r="B21">
        <v>312</v>
      </c>
      <c r="C21" t="s">
        <v>323</v>
      </c>
      <c r="D21">
        <v>4300</v>
      </c>
      <c r="E21" t="s">
        <v>319</v>
      </c>
    </row>
    <row r="22" spans="1:5" x14ac:dyDescent="0.3">
      <c r="A22">
        <v>21</v>
      </c>
      <c r="B22">
        <v>313</v>
      </c>
      <c r="C22" t="s">
        <v>325</v>
      </c>
      <c r="D22">
        <v>6800</v>
      </c>
      <c r="E22" t="s">
        <v>319</v>
      </c>
    </row>
    <row r="23" spans="1:5" x14ac:dyDescent="0.3">
      <c r="A23">
        <v>22</v>
      </c>
      <c r="B23">
        <v>314</v>
      </c>
      <c r="C23" t="s">
        <v>318</v>
      </c>
      <c r="D23">
        <v>1500</v>
      </c>
      <c r="E23" t="s">
        <v>324</v>
      </c>
    </row>
    <row r="24" spans="1:5" x14ac:dyDescent="0.3">
      <c r="A24">
        <v>23</v>
      </c>
      <c r="B24">
        <v>315</v>
      </c>
      <c r="C24" t="s">
        <v>321</v>
      </c>
      <c r="D24">
        <v>2900</v>
      </c>
      <c r="E24" t="s">
        <v>319</v>
      </c>
    </row>
    <row r="25" spans="1:5" x14ac:dyDescent="0.3">
      <c r="A25">
        <v>24</v>
      </c>
      <c r="B25">
        <v>316</v>
      </c>
      <c r="C25" t="s">
        <v>323</v>
      </c>
      <c r="D25">
        <v>4500</v>
      </c>
      <c r="E25" t="s">
        <v>320</v>
      </c>
    </row>
    <row r="26" spans="1:5" x14ac:dyDescent="0.3">
      <c r="A26">
        <v>25</v>
      </c>
      <c r="B26">
        <v>317</v>
      </c>
      <c r="C26" t="s">
        <v>325</v>
      </c>
      <c r="D26">
        <v>7000</v>
      </c>
      <c r="E26" t="s">
        <v>319</v>
      </c>
    </row>
    <row r="27" spans="1:5" x14ac:dyDescent="0.3">
      <c r="A27">
        <v>26</v>
      </c>
      <c r="B27">
        <v>318</v>
      </c>
      <c r="C27" t="s">
        <v>318</v>
      </c>
      <c r="D27">
        <v>1650</v>
      </c>
      <c r="E27" t="s">
        <v>319</v>
      </c>
    </row>
    <row r="28" spans="1:5" x14ac:dyDescent="0.3">
      <c r="A28">
        <v>27</v>
      </c>
      <c r="B28">
        <v>319</v>
      </c>
      <c r="C28" t="s">
        <v>321</v>
      </c>
      <c r="D28">
        <v>2750</v>
      </c>
      <c r="E28" t="s">
        <v>319</v>
      </c>
    </row>
    <row r="29" spans="1:5" x14ac:dyDescent="0.3">
      <c r="A29">
        <v>28</v>
      </c>
      <c r="B29">
        <v>320</v>
      </c>
      <c r="C29" t="s">
        <v>323</v>
      </c>
      <c r="D29">
        <v>4400</v>
      </c>
      <c r="E29" t="s">
        <v>319</v>
      </c>
    </row>
    <row r="30" spans="1:5" x14ac:dyDescent="0.3">
      <c r="A30">
        <v>29</v>
      </c>
      <c r="B30">
        <v>321</v>
      </c>
      <c r="C30" t="s">
        <v>325</v>
      </c>
      <c r="D30">
        <v>7200</v>
      </c>
      <c r="E30" t="s">
        <v>320</v>
      </c>
    </row>
    <row r="31" spans="1:5" x14ac:dyDescent="0.3">
      <c r="A31">
        <v>30</v>
      </c>
      <c r="B31">
        <v>322</v>
      </c>
      <c r="C31" t="s">
        <v>318</v>
      </c>
      <c r="D31">
        <v>1550</v>
      </c>
      <c r="E31" t="s">
        <v>319</v>
      </c>
    </row>
    <row r="32" spans="1:5" x14ac:dyDescent="0.3">
      <c r="A32">
        <v>31</v>
      </c>
      <c r="B32">
        <v>323</v>
      </c>
      <c r="C32" t="s">
        <v>321</v>
      </c>
      <c r="D32">
        <v>2850</v>
      </c>
      <c r="E32" t="s">
        <v>324</v>
      </c>
    </row>
    <row r="33" spans="1:5" x14ac:dyDescent="0.3">
      <c r="A33">
        <v>32</v>
      </c>
      <c r="B33">
        <v>324</v>
      </c>
      <c r="C33" t="s">
        <v>323</v>
      </c>
      <c r="D33">
        <v>4600</v>
      </c>
      <c r="E33" t="s">
        <v>319</v>
      </c>
    </row>
    <row r="34" spans="1:5" x14ac:dyDescent="0.3">
      <c r="A34">
        <v>33</v>
      </c>
      <c r="B34">
        <v>325</v>
      </c>
      <c r="C34" t="s">
        <v>325</v>
      </c>
      <c r="D34">
        <v>7500</v>
      </c>
      <c r="E34" t="s">
        <v>319</v>
      </c>
    </row>
    <row r="35" spans="1:5" x14ac:dyDescent="0.3">
      <c r="A35">
        <v>34</v>
      </c>
      <c r="B35">
        <v>326</v>
      </c>
      <c r="C35" t="s">
        <v>318</v>
      </c>
      <c r="D35">
        <v>1750</v>
      </c>
      <c r="E35" t="s">
        <v>320</v>
      </c>
    </row>
    <row r="36" spans="1:5" x14ac:dyDescent="0.3">
      <c r="A36">
        <v>35</v>
      </c>
      <c r="B36">
        <v>327</v>
      </c>
      <c r="C36" t="s">
        <v>321</v>
      </c>
      <c r="D36">
        <v>3000</v>
      </c>
      <c r="E36" t="s">
        <v>319</v>
      </c>
    </row>
    <row r="37" spans="1:5" x14ac:dyDescent="0.3">
      <c r="A37">
        <v>36</v>
      </c>
      <c r="B37">
        <v>328</v>
      </c>
      <c r="C37" t="s">
        <v>323</v>
      </c>
      <c r="D37">
        <v>4700</v>
      </c>
      <c r="E37" t="s">
        <v>319</v>
      </c>
    </row>
    <row r="38" spans="1:5" x14ac:dyDescent="0.3">
      <c r="A38">
        <v>37</v>
      </c>
      <c r="B38">
        <v>329</v>
      </c>
      <c r="C38" t="s">
        <v>325</v>
      </c>
      <c r="D38">
        <v>7800</v>
      </c>
      <c r="E38" t="s">
        <v>319</v>
      </c>
    </row>
    <row r="39" spans="1:5" x14ac:dyDescent="0.3">
      <c r="A39">
        <v>38</v>
      </c>
      <c r="B39">
        <v>330</v>
      </c>
      <c r="C39" t="s">
        <v>318</v>
      </c>
      <c r="D39">
        <v>1800</v>
      </c>
      <c r="E39" t="s">
        <v>319</v>
      </c>
    </row>
    <row r="40" spans="1:5" x14ac:dyDescent="0.3">
      <c r="A40">
        <v>39</v>
      </c>
      <c r="B40">
        <v>331</v>
      </c>
      <c r="C40" t="s">
        <v>321</v>
      </c>
      <c r="D40">
        <v>3100</v>
      </c>
      <c r="E40" t="s">
        <v>320</v>
      </c>
    </row>
    <row r="41" spans="1:5" x14ac:dyDescent="0.3">
      <c r="A41">
        <v>40</v>
      </c>
      <c r="B41">
        <v>332</v>
      </c>
      <c r="C41" t="s">
        <v>323</v>
      </c>
      <c r="D41">
        <v>4800</v>
      </c>
      <c r="E41" t="s">
        <v>319</v>
      </c>
    </row>
    <row r="42" spans="1:5" x14ac:dyDescent="0.3">
      <c r="A42">
        <v>41</v>
      </c>
      <c r="B42">
        <v>333</v>
      </c>
      <c r="C42" t="s">
        <v>325</v>
      </c>
      <c r="D42">
        <v>8000</v>
      </c>
      <c r="E42" t="s">
        <v>319</v>
      </c>
    </row>
    <row r="43" spans="1:5" x14ac:dyDescent="0.3">
      <c r="A43">
        <v>42</v>
      </c>
      <c r="B43">
        <v>334</v>
      </c>
      <c r="C43" t="s">
        <v>318</v>
      </c>
      <c r="D43">
        <v>1850</v>
      </c>
      <c r="E43" t="s">
        <v>319</v>
      </c>
    </row>
    <row r="44" spans="1:5" x14ac:dyDescent="0.3">
      <c r="A44">
        <v>43</v>
      </c>
      <c r="B44">
        <v>335</v>
      </c>
      <c r="C44" t="s">
        <v>321</v>
      </c>
      <c r="D44">
        <v>3200</v>
      </c>
      <c r="E44" t="s">
        <v>319</v>
      </c>
    </row>
    <row r="45" spans="1:5" x14ac:dyDescent="0.3">
      <c r="A45">
        <v>44</v>
      </c>
      <c r="B45">
        <v>336</v>
      </c>
      <c r="C45" t="s">
        <v>323</v>
      </c>
      <c r="D45">
        <v>4900</v>
      </c>
      <c r="E45" t="s">
        <v>324</v>
      </c>
    </row>
    <row r="46" spans="1:5" x14ac:dyDescent="0.3">
      <c r="A46">
        <v>45</v>
      </c>
      <c r="B46">
        <v>337</v>
      </c>
      <c r="C46" t="s">
        <v>325</v>
      </c>
      <c r="D46">
        <v>8200</v>
      </c>
      <c r="E46" t="s">
        <v>319</v>
      </c>
    </row>
    <row r="47" spans="1:5" x14ac:dyDescent="0.3">
      <c r="A47">
        <v>46</v>
      </c>
      <c r="B47">
        <v>338</v>
      </c>
      <c r="C47" t="s">
        <v>318</v>
      </c>
      <c r="D47">
        <v>1900</v>
      </c>
      <c r="E47" t="s">
        <v>319</v>
      </c>
    </row>
    <row r="48" spans="1:5" x14ac:dyDescent="0.3">
      <c r="A48">
        <v>47</v>
      </c>
      <c r="B48">
        <v>339</v>
      </c>
      <c r="C48" t="s">
        <v>321</v>
      </c>
      <c r="D48">
        <v>3300</v>
      </c>
      <c r="E48" t="s">
        <v>319</v>
      </c>
    </row>
    <row r="49" spans="1:5" x14ac:dyDescent="0.3">
      <c r="A49">
        <v>48</v>
      </c>
      <c r="B49">
        <v>340</v>
      </c>
      <c r="C49" t="s">
        <v>323</v>
      </c>
      <c r="D49">
        <v>5000</v>
      </c>
      <c r="E49" t="s">
        <v>320</v>
      </c>
    </row>
    <row r="50" spans="1:5" x14ac:dyDescent="0.3">
      <c r="A50">
        <v>49</v>
      </c>
      <c r="B50">
        <v>341</v>
      </c>
      <c r="C50" t="s">
        <v>325</v>
      </c>
      <c r="D50">
        <v>8500</v>
      </c>
      <c r="E50" t="s">
        <v>319</v>
      </c>
    </row>
    <row r="51" spans="1:5" x14ac:dyDescent="0.3">
      <c r="A51">
        <v>50</v>
      </c>
      <c r="B51">
        <v>342</v>
      </c>
      <c r="C51" t="s">
        <v>321</v>
      </c>
      <c r="D51">
        <v>3400</v>
      </c>
      <c r="E51" t="s">
        <v>319</v>
      </c>
    </row>
  </sheetData>
  <conditionalFormatting sqref="B1:B1048576">
    <cfRule type="duplicateValues" dxfId="12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FF69-73A8-46F7-9EF3-8DC24AD32E59}">
  <dimension ref="A1:J101"/>
  <sheetViews>
    <sheetView topLeftCell="A80" workbookViewId="0"/>
  </sheetViews>
  <sheetFormatPr defaultRowHeight="14.4" x14ac:dyDescent="0.3"/>
  <cols>
    <col min="1" max="1" width="10.109375" bestFit="1" customWidth="1"/>
    <col min="2" max="2" width="18.109375" bestFit="1" customWidth="1"/>
    <col min="3" max="3" width="11" bestFit="1" customWidth="1"/>
    <col min="4" max="4" width="21.109375" bestFit="1" customWidth="1"/>
    <col min="5" max="5" width="8.109375" bestFit="1" customWidth="1"/>
    <col min="6" max="6" width="15.33203125" bestFit="1" customWidth="1"/>
    <col min="7" max="7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s="1">
        <v>45830.427974537037</v>
      </c>
      <c r="G2" t="s">
        <v>379</v>
      </c>
    </row>
    <row r="3" spans="1:7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s="1">
        <v>45831.395833333336</v>
      </c>
      <c r="G3" t="s">
        <v>379</v>
      </c>
    </row>
    <row r="4" spans="1:7" x14ac:dyDescent="0.3">
      <c r="A4">
        <v>3</v>
      </c>
      <c r="B4" t="s">
        <v>15</v>
      </c>
      <c r="C4" t="s">
        <v>16</v>
      </c>
      <c r="D4" t="s">
        <v>17</v>
      </c>
      <c r="E4" t="s">
        <v>18</v>
      </c>
      <c r="F4" s="1">
        <v>45832.46875</v>
      </c>
      <c r="G4" t="s">
        <v>19</v>
      </c>
    </row>
    <row r="5" spans="1:7" x14ac:dyDescent="0.3">
      <c r="A5">
        <v>4</v>
      </c>
      <c r="B5" t="s">
        <v>20</v>
      </c>
      <c r="C5" t="s">
        <v>21</v>
      </c>
      <c r="D5" t="s">
        <v>22</v>
      </c>
      <c r="E5" t="s">
        <v>23</v>
      </c>
      <c r="F5" s="1">
        <v>45833.597222222219</v>
      </c>
      <c r="G5" t="s">
        <v>379</v>
      </c>
    </row>
    <row r="6" spans="1:7" x14ac:dyDescent="0.3">
      <c r="A6">
        <v>5</v>
      </c>
      <c r="B6" t="s">
        <v>24</v>
      </c>
      <c r="C6" t="s">
        <v>25</v>
      </c>
      <c r="D6" t="s">
        <v>26</v>
      </c>
      <c r="E6" t="s">
        <v>18</v>
      </c>
      <c r="F6" s="1">
        <v>45834.697916666664</v>
      </c>
      <c r="G6" t="s">
        <v>379</v>
      </c>
    </row>
    <row r="7" spans="1:7" x14ac:dyDescent="0.3">
      <c r="A7">
        <v>6</v>
      </c>
      <c r="B7" t="s">
        <v>27</v>
      </c>
      <c r="C7" t="s">
        <v>28</v>
      </c>
      <c r="D7" t="s">
        <v>29</v>
      </c>
      <c r="E7" t="s">
        <v>30</v>
      </c>
      <c r="F7" s="1">
        <v>45835.416666666664</v>
      </c>
      <c r="G7" t="s">
        <v>379</v>
      </c>
    </row>
    <row r="8" spans="1:7" x14ac:dyDescent="0.3">
      <c r="A8">
        <v>7</v>
      </c>
      <c r="B8" t="s">
        <v>31</v>
      </c>
      <c r="C8" t="s">
        <v>32</v>
      </c>
      <c r="D8" t="s">
        <v>33</v>
      </c>
      <c r="E8" t="s">
        <v>14</v>
      </c>
      <c r="F8" s="1">
        <v>45836.520833333336</v>
      </c>
      <c r="G8" t="s">
        <v>379</v>
      </c>
    </row>
    <row r="9" spans="1:7" x14ac:dyDescent="0.3">
      <c r="A9">
        <v>8</v>
      </c>
      <c r="B9" t="s">
        <v>34</v>
      </c>
      <c r="C9" t="s">
        <v>35</v>
      </c>
      <c r="D9" t="s">
        <v>36</v>
      </c>
      <c r="E9" t="s">
        <v>37</v>
      </c>
      <c r="F9" s="1">
        <v>45837.548611111109</v>
      </c>
      <c r="G9" t="s">
        <v>379</v>
      </c>
    </row>
    <row r="10" spans="1:7" x14ac:dyDescent="0.3">
      <c r="A10">
        <v>9</v>
      </c>
      <c r="B10" t="s">
        <v>38</v>
      </c>
      <c r="C10" t="s">
        <v>39</v>
      </c>
      <c r="D10" t="s">
        <v>40</v>
      </c>
      <c r="E10" t="s">
        <v>18</v>
      </c>
      <c r="F10" s="1">
        <v>45838.708333333336</v>
      </c>
      <c r="G10" t="s">
        <v>379</v>
      </c>
    </row>
    <row r="11" spans="1:7" x14ac:dyDescent="0.3">
      <c r="A11">
        <v>10</v>
      </c>
      <c r="B11" t="s">
        <v>41</v>
      </c>
      <c r="C11" t="s">
        <v>42</v>
      </c>
      <c r="D11" t="s">
        <v>43</v>
      </c>
      <c r="E11" t="s">
        <v>23</v>
      </c>
      <c r="F11" s="1">
        <v>45839.364583333336</v>
      </c>
      <c r="G11" t="s">
        <v>379</v>
      </c>
    </row>
    <row r="12" spans="1:7" x14ac:dyDescent="0.3">
      <c r="A12">
        <v>11</v>
      </c>
      <c r="B12" t="s">
        <v>44</v>
      </c>
      <c r="C12" t="s">
        <v>45</v>
      </c>
      <c r="D12" t="s">
        <v>46</v>
      </c>
      <c r="E12" t="s">
        <v>18</v>
      </c>
      <c r="F12" s="1">
        <v>45840.375</v>
      </c>
      <c r="G12" t="s">
        <v>19</v>
      </c>
    </row>
    <row r="13" spans="1:7" x14ac:dyDescent="0.3">
      <c r="A13">
        <v>12</v>
      </c>
      <c r="B13" t="s">
        <v>20</v>
      </c>
      <c r="C13" t="s">
        <v>47</v>
      </c>
      <c r="D13" t="s">
        <v>48</v>
      </c>
      <c r="E13" t="s">
        <v>14</v>
      </c>
      <c r="F13" s="1">
        <v>45840.385416666664</v>
      </c>
      <c r="G13" t="s">
        <v>49</v>
      </c>
    </row>
    <row r="14" spans="1:7" x14ac:dyDescent="0.3">
      <c r="A14">
        <v>13</v>
      </c>
      <c r="B14" t="s">
        <v>50</v>
      </c>
      <c r="C14" t="s">
        <v>51</v>
      </c>
      <c r="D14" t="s">
        <v>52</v>
      </c>
      <c r="E14" t="s">
        <v>23</v>
      </c>
      <c r="F14" s="1">
        <v>45840.395833333336</v>
      </c>
      <c r="G14" t="s">
        <v>19</v>
      </c>
    </row>
    <row r="15" spans="1:7" x14ac:dyDescent="0.3">
      <c r="A15">
        <v>14</v>
      </c>
      <c r="B15" t="s">
        <v>53</v>
      </c>
      <c r="C15" t="s">
        <v>54</v>
      </c>
      <c r="D15" t="s">
        <v>55</v>
      </c>
      <c r="E15" t="s">
        <v>30</v>
      </c>
      <c r="F15" s="1">
        <v>45840.40625</v>
      </c>
      <c r="G15" t="s">
        <v>49</v>
      </c>
    </row>
    <row r="16" spans="1:7" x14ac:dyDescent="0.3">
      <c r="A16">
        <v>15</v>
      </c>
      <c r="B16" t="s">
        <v>56</v>
      </c>
      <c r="C16" t="s">
        <v>57</v>
      </c>
      <c r="D16" t="s">
        <v>58</v>
      </c>
      <c r="E16" t="s">
        <v>18</v>
      </c>
      <c r="F16" s="1">
        <v>45840.416666666664</v>
      </c>
      <c r="G16" t="s">
        <v>19</v>
      </c>
    </row>
    <row r="17" spans="1:7" x14ac:dyDescent="0.3">
      <c r="A17">
        <v>16</v>
      </c>
      <c r="B17" t="s">
        <v>59</v>
      </c>
      <c r="C17" t="s">
        <v>60</v>
      </c>
      <c r="D17" t="s">
        <v>61</v>
      </c>
      <c r="E17" t="s">
        <v>37</v>
      </c>
      <c r="F17" s="1">
        <v>45840.427083333336</v>
      </c>
      <c r="G17" t="s">
        <v>379</v>
      </c>
    </row>
    <row r="18" spans="1:7" x14ac:dyDescent="0.3">
      <c r="A18">
        <v>17</v>
      </c>
      <c r="B18" t="s">
        <v>62</v>
      </c>
      <c r="C18" t="s">
        <v>63</v>
      </c>
      <c r="D18" t="s">
        <v>64</v>
      </c>
      <c r="E18" t="s">
        <v>14</v>
      </c>
      <c r="F18" s="1">
        <v>45840.4375</v>
      </c>
      <c r="G18" t="s">
        <v>379</v>
      </c>
    </row>
    <row r="19" spans="1:7" x14ac:dyDescent="0.3">
      <c r="A19">
        <v>18</v>
      </c>
      <c r="B19" t="s">
        <v>65</v>
      </c>
      <c r="C19" t="s">
        <v>66</v>
      </c>
      <c r="D19" t="s">
        <v>67</v>
      </c>
      <c r="E19" t="s">
        <v>23</v>
      </c>
      <c r="F19" s="1">
        <v>45840.447916666664</v>
      </c>
      <c r="G19" t="s">
        <v>379</v>
      </c>
    </row>
    <row r="20" spans="1:7" x14ac:dyDescent="0.3">
      <c r="A20">
        <v>19</v>
      </c>
      <c r="B20" t="s">
        <v>68</v>
      </c>
      <c r="C20" t="s">
        <v>69</v>
      </c>
      <c r="D20" t="s">
        <v>70</v>
      </c>
      <c r="E20" t="s">
        <v>18</v>
      </c>
      <c r="F20" s="1">
        <v>45840.458333333336</v>
      </c>
      <c r="G20" t="s">
        <v>379</v>
      </c>
    </row>
    <row r="21" spans="1:7" x14ac:dyDescent="0.3">
      <c r="A21">
        <v>20</v>
      </c>
      <c r="B21" t="s">
        <v>71</v>
      </c>
      <c r="C21" t="s">
        <v>72</v>
      </c>
      <c r="D21" t="s">
        <v>73</v>
      </c>
      <c r="E21" t="s">
        <v>30</v>
      </c>
      <c r="F21" s="1">
        <v>45840.46875</v>
      </c>
      <c r="G21" t="s">
        <v>379</v>
      </c>
    </row>
    <row r="22" spans="1:7" x14ac:dyDescent="0.3">
      <c r="A22">
        <v>21</v>
      </c>
      <c r="B22" t="s">
        <v>50</v>
      </c>
      <c r="C22" t="s">
        <v>74</v>
      </c>
      <c r="D22" t="s">
        <v>75</v>
      </c>
      <c r="E22" t="s">
        <v>18</v>
      </c>
      <c r="F22" s="1">
        <v>45841.375</v>
      </c>
      <c r="G22" t="s">
        <v>19</v>
      </c>
    </row>
    <row r="23" spans="1:7" x14ac:dyDescent="0.3">
      <c r="A23">
        <v>22</v>
      </c>
      <c r="B23" t="s">
        <v>76</v>
      </c>
      <c r="C23" t="s">
        <v>77</v>
      </c>
      <c r="D23" t="s">
        <v>78</v>
      </c>
      <c r="E23" t="s">
        <v>14</v>
      </c>
      <c r="F23" s="1">
        <v>45841.385416666664</v>
      </c>
      <c r="G23" t="s">
        <v>49</v>
      </c>
    </row>
    <row r="24" spans="1:7" x14ac:dyDescent="0.3">
      <c r="A24">
        <v>23</v>
      </c>
      <c r="B24" t="s">
        <v>79</v>
      </c>
      <c r="C24" t="s">
        <v>80</v>
      </c>
      <c r="D24" t="s">
        <v>81</v>
      </c>
      <c r="E24" t="s">
        <v>23</v>
      </c>
      <c r="F24" s="1">
        <v>45841.395833333336</v>
      </c>
      <c r="G24" t="s">
        <v>379</v>
      </c>
    </row>
    <row r="25" spans="1:7" x14ac:dyDescent="0.3">
      <c r="A25">
        <v>24</v>
      </c>
      <c r="B25" t="s">
        <v>82</v>
      </c>
      <c r="C25" t="s">
        <v>83</v>
      </c>
      <c r="D25" t="s">
        <v>84</v>
      </c>
      <c r="E25" t="s">
        <v>30</v>
      </c>
      <c r="F25" s="1">
        <v>45841.40625</v>
      </c>
      <c r="G25" t="s">
        <v>19</v>
      </c>
    </row>
    <row r="26" spans="1:7" x14ac:dyDescent="0.3">
      <c r="A26">
        <v>25</v>
      </c>
      <c r="B26" t="s">
        <v>85</v>
      </c>
      <c r="C26" t="s">
        <v>86</v>
      </c>
      <c r="D26" t="s">
        <v>87</v>
      </c>
      <c r="E26" t="s">
        <v>18</v>
      </c>
      <c r="F26" s="1">
        <v>45841.416666666664</v>
      </c>
      <c r="G26" t="s">
        <v>379</v>
      </c>
    </row>
    <row r="27" spans="1:7" x14ac:dyDescent="0.3">
      <c r="A27">
        <v>26</v>
      </c>
      <c r="B27" t="s">
        <v>88</v>
      </c>
      <c r="C27" t="s">
        <v>89</v>
      </c>
      <c r="D27" t="s">
        <v>90</v>
      </c>
      <c r="E27" t="s">
        <v>14</v>
      </c>
      <c r="F27" s="1">
        <v>45841.427083333336</v>
      </c>
      <c r="G27" t="s">
        <v>49</v>
      </c>
    </row>
    <row r="28" spans="1:7" x14ac:dyDescent="0.3">
      <c r="A28">
        <v>27</v>
      </c>
      <c r="B28" t="s">
        <v>91</v>
      </c>
      <c r="C28" t="s">
        <v>92</v>
      </c>
      <c r="D28" t="s">
        <v>93</v>
      </c>
      <c r="E28" t="s">
        <v>23</v>
      </c>
      <c r="F28" s="1">
        <v>45841.4375</v>
      </c>
      <c r="G28" t="s">
        <v>19</v>
      </c>
    </row>
    <row r="29" spans="1:7" x14ac:dyDescent="0.3">
      <c r="A29">
        <v>28</v>
      </c>
      <c r="B29" t="s">
        <v>94</v>
      </c>
      <c r="C29" t="s">
        <v>95</v>
      </c>
      <c r="D29" t="s">
        <v>96</v>
      </c>
      <c r="E29" t="s">
        <v>30</v>
      </c>
      <c r="F29" s="1">
        <v>45841.447916666664</v>
      </c>
      <c r="G29" t="s">
        <v>379</v>
      </c>
    </row>
    <row r="30" spans="1:7" x14ac:dyDescent="0.3">
      <c r="A30">
        <v>29</v>
      </c>
      <c r="B30" t="s">
        <v>97</v>
      </c>
      <c r="C30" t="s">
        <v>98</v>
      </c>
      <c r="D30" t="s">
        <v>99</v>
      </c>
      <c r="E30" t="s">
        <v>18</v>
      </c>
      <c r="F30" s="1">
        <v>45841.458333333336</v>
      </c>
      <c r="G30" t="s">
        <v>49</v>
      </c>
    </row>
    <row r="31" spans="1:7" x14ac:dyDescent="0.3">
      <c r="A31">
        <v>30</v>
      </c>
      <c r="B31" t="s">
        <v>100</v>
      </c>
      <c r="C31" t="s">
        <v>101</v>
      </c>
      <c r="D31" t="s">
        <v>102</v>
      </c>
      <c r="E31" t="s">
        <v>14</v>
      </c>
      <c r="F31" s="1">
        <v>45841.46875</v>
      </c>
      <c r="G31" t="s">
        <v>379</v>
      </c>
    </row>
    <row r="32" spans="1:7" x14ac:dyDescent="0.3">
      <c r="A32">
        <v>31</v>
      </c>
      <c r="B32" t="s">
        <v>103</v>
      </c>
      <c r="C32" t="s">
        <v>104</v>
      </c>
      <c r="D32" t="s">
        <v>105</v>
      </c>
      <c r="E32" t="s">
        <v>23</v>
      </c>
      <c r="F32" s="1">
        <v>45841.479166666664</v>
      </c>
      <c r="G32" t="s">
        <v>19</v>
      </c>
    </row>
    <row r="33" spans="1:10" x14ac:dyDescent="0.3">
      <c r="A33">
        <v>32</v>
      </c>
      <c r="B33" t="s">
        <v>106</v>
      </c>
      <c r="C33" t="s">
        <v>107</v>
      </c>
      <c r="D33" t="s">
        <v>108</v>
      </c>
      <c r="E33" t="s">
        <v>30</v>
      </c>
      <c r="F33" s="1">
        <v>45841.489583333336</v>
      </c>
      <c r="G33" t="s">
        <v>49</v>
      </c>
    </row>
    <row r="34" spans="1:10" x14ac:dyDescent="0.3">
      <c r="A34">
        <v>33</v>
      </c>
      <c r="B34" t="s">
        <v>109</v>
      </c>
      <c r="C34" t="s">
        <v>110</v>
      </c>
      <c r="D34" t="s">
        <v>111</v>
      </c>
      <c r="E34" t="s">
        <v>18</v>
      </c>
      <c r="F34" s="1">
        <v>45841.5</v>
      </c>
      <c r="G34" t="s">
        <v>379</v>
      </c>
    </row>
    <row r="35" spans="1:10" x14ac:dyDescent="0.3">
      <c r="A35">
        <v>34</v>
      </c>
      <c r="B35" t="s">
        <v>112</v>
      </c>
      <c r="C35" t="s">
        <v>113</v>
      </c>
      <c r="D35" t="s">
        <v>114</v>
      </c>
      <c r="E35" t="s">
        <v>14</v>
      </c>
      <c r="F35" s="1">
        <v>45841.510416666664</v>
      </c>
      <c r="G35" t="s">
        <v>19</v>
      </c>
    </row>
    <row r="36" spans="1:10" x14ac:dyDescent="0.3">
      <c r="A36">
        <v>35</v>
      </c>
      <c r="B36" t="s">
        <v>115</v>
      </c>
      <c r="C36" t="s">
        <v>116</v>
      </c>
      <c r="D36" t="s">
        <v>117</v>
      </c>
      <c r="E36" t="s">
        <v>23</v>
      </c>
      <c r="F36" s="1">
        <v>45841.520833333336</v>
      </c>
      <c r="G36" t="s">
        <v>379</v>
      </c>
    </row>
    <row r="37" spans="1:10" x14ac:dyDescent="0.3">
      <c r="A37">
        <v>36</v>
      </c>
      <c r="B37" t="s">
        <v>118</v>
      </c>
      <c r="C37" t="s">
        <v>119</v>
      </c>
      <c r="D37" t="s">
        <v>120</v>
      </c>
      <c r="E37" t="s">
        <v>30</v>
      </c>
      <c r="F37" s="1">
        <v>45841.53125</v>
      </c>
      <c r="G37" t="s">
        <v>49</v>
      </c>
      <c r="J37">
        <f>COUNTBLANK(guests8[Gender])</f>
        <v>0</v>
      </c>
    </row>
    <row r="38" spans="1:10" x14ac:dyDescent="0.3">
      <c r="A38">
        <v>37</v>
      </c>
      <c r="B38" t="s">
        <v>121</v>
      </c>
      <c r="C38" t="s">
        <v>122</v>
      </c>
      <c r="D38" t="s">
        <v>123</v>
      </c>
      <c r="E38" t="s">
        <v>18</v>
      </c>
      <c r="F38" s="1">
        <v>45841.541666666664</v>
      </c>
      <c r="G38" t="s">
        <v>19</v>
      </c>
    </row>
    <row r="39" spans="1:10" x14ac:dyDescent="0.3">
      <c r="A39">
        <v>38</v>
      </c>
      <c r="B39" t="s">
        <v>124</v>
      </c>
      <c r="C39" t="s">
        <v>125</v>
      </c>
      <c r="D39" t="s">
        <v>126</v>
      </c>
      <c r="E39" t="s">
        <v>14</v>
      </c>
      <c r="F39" s="1">
        <v>45841.552083333336</v>
      </c>
      <c r="G39" t="s">
        <v>379</v>
      </c>
    </row>
    <row r="40" spans="1:10" x14ac:dyDescent="0.3">
      <c r="A40">
        <v>39</v>
      </c>
      <c r="B40" t="s">
        <v>68</v>
      </c>
      <c r="C40" t="s">
        <v>127</v>
      </c>
      <c r="D40" t="s">
        <v>128</v>
      </c>
      <c r="E40" t="s">
        <v>23</v>
      </c>
      <c r="F40" s="1">
        <v>45841.5625</v>
      </c>
      <c r="G40" t="s">
        <v>49</v>
      </c>
    </row>
    <row r="41" spans="1:10" x14ac:dyDescent="0.3">
      <c r="A41">
        <v>40</v>
      </c>
      <c r="B41" t="s">
        <v>129</v>
      </c>
      <c r="C41" t="s">
        <v>130</v>
      </c>
      <c r="D41" t="s">
        <v>131</v>
      </c>
      <c r="E41" t="s">
        <v>30</v>
      </c>
      <c r="F41" s="1">
        <v>45841.572916666664</v>
      </c>
      <c r="G41" t="s">
        <v>379</v>
      </c>
    </row>
    <row r="42" spans="1:10" x14ac:dyDescent="0.3">
      <c r="A42">
        <v>41</v>
      </c>
      <c r="B42" t="s">
        <v>132</v>
      </c>
      <c r="C42" t="s">
        <v>133</v>
      </c>
      <c r="D42" t="s">
        <v>134</v>
      </c>
      <c r="E42" t="s">
        <v>18</v>
      </c>
      <c r="F42" s="1">
        <v>45841.583333333336</v>
      </c>
      <c r="G42" t="s">
        <v>19</v>
      </c>
    </row>
    <row r="43" spans="1:10" x14ac:dyDescent="0.3">
      <c r="A43">
        <v>42</v>
      </c>
      <c r="B43" t="s">
        <v>135</v>
      </c>
      <c r="C43" t="s">
        <v>136</v>
      </c>
      <c r="D43" t="s">
        <v>137</v>
      </c>
      <c r="E43" t="s">
        <v>14</v>
      </c>
      <c r="F43" s="1">
        <v>45841.59375</v>
      </c>
      <c r="G43" t="s">
        <v>49</v>
      </c>
    </row>
    <row r="44" spans="1:10" x14ac:dyDescent="0.3">
      <c r="A44">
        <v>43</v>
      </c>
      <c r="B44" t="s">
        <v>138</v>
      </c>
      <c r="C44" t="s">
        <v>139</v>
      </c>
      <c r="D44" t="s">
        <v>140</v>
      </c>
      <c r="E44" t="s">
        <v>23</v>
      </c>
      <c r="F44" s="1">
        <v>45841.604166666664</v>
      </c>
      <c r="G44" t="s">
        <v>379</v>
      </c>
    </row>
    <row r="45" spans="1:10" x14ac:dyDescent="0.3">
      <c r="A45">
        <v>44</v>
      </c>
      <c r="B45" t="s">
        <v>141</v>
      </c>
      <c r="C45" t="s">
        <v>142</v>
      </c>
      <c r="D45" t="s">
        <v>143</v>
      </c>
      <c r="E45" t="s">
        <v>30</v>
      </c>
      <c r="F45" s="1">
        <v>45841.614583333336</v>
      </c>
      <c r="G45" t="s">
        <v>19</v>
      </c>
    </row>
    <row r="46" spans="1:10" x14ac:dyDescent="0.3">
      <c r="A46">
        <v>45</v>
      </c>
      <c r="B46" t="s">
        <v>144</v>
      </c>
      <c r="C46" t="s">
        <v>145</v>
      </c>
      <c r="D46" t="s">
        <v>146</v>
      </c>
      <c r="E46" t="s">
        <v>18</v>
      </c>
      <c r="F46" s="1">
        <v>45841.625</v>
      </c>
      <c r="G46" t="s">
        <v>379</v>
      </c>
    </row>
    <row r="47" spans="1:10" x14ac:dyDescent="0.3">
      <c r="A47">
        <v>46</v>
      </c>
      <c r="B47" t="s">
        <v>147</v>
      </c>
      <c r="C47" t="s">
        <v>148</v>
      </c>
      <c r="D47" t="s">
        <v>149</v>
      </c>
      <c r="E47" t="s">
        <v>14</v>
      </c>
      <c r="F47" s="1">
        <v>45841.635416666664</v>
      </c>
      <c r="G47" t="s">
        <v>49</v>
      </c>
    </row>
    <row r="48" spans="1:10" x14ac:dyDescent="0.3">
      <c r="A48">
        <v>47</v>
      </c>
      <c r="B48" t="s">
        <v>150</v>
      </c>
      <c r="C48" t="s">
        <v>151</v>
      </c>
      <c r="D48" t="s">
        <v>152</v>
      </c>
      <c r="E48" t="s">
        <v>23</v>
      </c>
      <c r="F48" s="1">
        <v>45841.645833333336</v>
      </c>
      <c r="G48" t="s">
        <v>19</v>
      </c>
    </row>
    <row r="49" spans="1:7" x14ac:dyDescent="0.3">
      <c r="A49">
        <v>48</v>
      </c>
      <c r="B49" t="s">
        <v>153</v>
      </c>
      <c r="C49" t="s">
        <v>154</v>
      </c>
      <c r="D49" t="s">
        <v>155</v>
      </c>
      <c r="E49" t="s">
        <v>30</v>
      </c>
      <c r="F49" s="1">
        <v>45841.65625</v>
      </c>
      <c r="G49" t="s">
        <v>379</v>
      </c>
    </row>
    <row r="50" spans="1:7" x14ac:dyDescent="0.3">
      <c r="A50">
        <v>49</v>
      </c>
      <c r="B50" t="s">
        <v>156</v>
      </c>
      <c r="C50" t="s">
        <v>157</v>
      </c>
      <c r="D50" t="s">
        <v>158</v>
      </c>
      <c r="E50" t="s">
        <v>18</v>
      </c>
      <c r="F50" s="1">
        <v>45841.666666666664</v>
      </c>
      <c r="G50" t="s">
        <v>49</v>
      </c>
    </row>
    <row r="51" spans="1:7" x14ac:dyDescent="0.3">
      <c r="A51">
        <v>50</v>
      </c>
      <c r="B51" t="s">
        <v>159</v>
      </c>
      <c r="C51" t="s">
        <v>160</v>
      </c>
      <c r="D51" t="s">
        <v>161</v>
      </c>
      <c r="E51" t="s">
        <v>14</v>
      </c>
      <c r="F51" s="1">
        <v>45841.677083333336</v>
      </c>
      <c r="G51" t="s">
        <v>379</v>
      </c>
    </row>
    <row r="52" spans="1:7" x14ac:dyDescent="0.3">
      <c r="A52">
        <v>51</v>
      </c>
      <c r="B52" t="s">
        <v>162</v>
      </c>
      <c r="C52" t="s">
        <v>163</v>
      </c>
      <c r="D52" t="s">
        <v>164</v>
      </c>
      <c r="E52" t="s">
        <v>23</v>
      </c>
      <c r="F52" s="1">
        <v>45841.6875</v>
      </c>
      <c r="G52" t="s">
        <v>19</v>
      </c>
    </row>
    <row r="53" spans="1:7" x14ac:dyDescent="0.3">
      <c r="A53">
        <v>52</v>
      </c>
      <c r="B53" t="s">
        <v>165</v>
      </c>
      <c r="C53" t="s">
        <v>166</v>
      </c>
      <c r="D53" t="s">
        <v>167</v>
      </c>
      <c r="E53" t="s">
        <v>30</v>
      </c>
      <c r="F53" s="1">
        <v>45841.697916666664</v>
      </c>
      <c r="G53" t="s">
        <v>49</v>
      </c>
    </row>
    <row r="54" spans="1:7" x14ac:dyDescent="0.3">
      <c r="A54">
        <v>53</v>
      </c>
      <c r="B54" t="s">
        <v>168</v>
      </c>
      <c r="C54" t="s">
        <v>169</v>
      </c>
      <c r="D54" t="s">
        <v>170</v>
      </c>
      <c r="E54" t="s">
        <v>18</v>
      </c>
      <c r="F54" s="1">
        <v>45841.708333333336</v>
      </c>
      <c r="G54" t="s">
        <v>379</v>
      </c>
    </row>
    <row r="55" spans="1:7" x14ac:dyDescent="0.3">
      <c r="A55">
        <v>54</v>
      </c>
      <c r="B55" t="s">
        <v>171</v>
      </c>
      <c r="C55" t="s">
        <v>172</v>
      </c>
      <c r="D55" t="s">
        <v>173</v>
      </c>
      <c r="E55" t="s">
        <v>14</v>
      </c>
      <c r="F55" s="1">
        <v>45841.71875</v>
      </c>
      <c r="G55" t="s">
        <v>19</v>
      </c>
    </row>
    <row r="56" spans="1:7" x14ac:dyDescent="0.3">
      <c r="A56">
        <v>55</v>
      </c>
      <c r="B56" t="s">
        <v>174</v>
      </c>
      <c r="C56" t="s">
        <v>175</v>
      </c>
      <c r="D56" t="s">
        <v>176</v>
      </c>
      <c r="E56" t="s">
        <v>23</v>
      </c>
      <c r="F56" s="1">
        <v>45841.729166666664</v>
      </c>
      <c r="G56" t="s">
        <v>379</v>
      </c>
    </row>
    <row r="57" spans="1:7" x14ac:dyDescent="0.3">
      <c r="A57">
        <v>56</v>
      </c>
      <c r="B57" t="s">
        <v>177</v>
      </c>
      <c r="C57" t="s">
        <v>178</v>
      </c>
      <c r="D57" t="s">
        <v>179</v>
      </c>
      <c r="E57" t="s">
        <v>30</v>
      </c>
      <c r="F57" s="1">
        <v>45841.739583333336</v>
      </c>
      <c r="G57" t="s">
        <v>49</v>
      </c>
    </row>
    <row r="58" spans="1:7" x14ac:dyDescent="0.3">
      <c r="A58">
        <v>57</v>
      </c>
      <c r="B58" t="s">
        <v>180</v>
      </c>
      <c r="C58" t="s">
        <v>181</v>
      </c>
      <c r="D58" t="s">
        <v>182</v>
      </c>
      <c r="E58" t="s">
        <v>18</v>
      </c>
      <c r="F58" s="1">
        <v>45841.75</v>
      </c>
      <c r="G58" t="s">
        <v>19</v>
      </c>
    </row>
    <row r="59" spans="1:7" x14ac:dyDescent="0.3">
      <c r="A59">
        <v>58</v>
      </c>
      <c r="B59" t="s">
        <v>183</v>
      </c>
      <c r="C59" t="s">
        <v>184</v>
      </c>
      <c r="D59" t="s">
        <v>185</v>
      </c>
      <c r="E59" t="s">
        <v>14</v>
      </c>
      <c r="F59" s="1">
        <v>45841.760416666664</v>
      </c>
      <c r="G59" t="s">
        <v>379</v>
      </c>
    </row>
    <row r="60" spans="1:7" x14ac:dyDescent="0.3">
      <c r="A60">
        <v>59</v>
      </c>
      <c r="B60" t="s">
        <v>186</v>
      </c>
      <c r="C60" t="s">
        <v>187</v>
      </c>
      <c r="D60" t="s">
        <v>188</v>
      </c>
      <c r="E60" t="s">
        <v>23</v>
      </c>
      <c r="F60" s="1">
        <v>45841.770833333336</v>
      </c>
      <c r="G60" t="s">
        <v>49</v>
      </c>
    </row>
    <row r="61" spans="1:7" x14ac:dyDescent="0.3">
      <c r="A61">
        <v>60</v>
      </c>
      <c r="B61" t="s">
        <v>189</v>
      </c>
      <c r="C61" t="s">
        <v>190</v>
      </c>
      <c r="D61" t="s">
        <v>191</v>
      </c>
      <c r="E61" t="s">
        <v>30</v>
      </c>
      <c r="F61" s="1">
        <v>45841.78125</v>
      </c>
      <c r="G61" t="s">
        <v>379</v>
      </c>
    </row>
    <row r="62" spans="1:7" x14ac:dyDescent="0.3">
      <c r="A62">
        <v>61</v>
      </c>
      <c r="B62" t="s">
        <v>192</v>
      </c>
      <c r="C62" t="s">
        <v>193</v>
      </c>
      <c r="D62" t="s">
        <v>194</v>
      </c>
      <c r="E62" t="s">
        <v>18</v>
      </c>
      <c r="F62" s="1">
        <v>45841.791666666664</v>
      </c>
      <c r="G62" t="s">
        <v>19</v>
      </c>
    </row>
    <row r="63" spans="1:7" x14ac:dyDescent="0.3">
      <c r="A63">
        <v>62</v>
      </c>
      <c r="B63" t="s">
        <v>195</v>
      </c>
      <c r="C63" t="s">
        <v>196</v>
      </c>
      <c r="D63" t="s">
        <v>197</v>
      </c>
      <c r="E63" t="s">
        <v>14</v>
      </c>
      <c r="F63" s="1">
        <v>45841.802083333336</v>
      </c>
      <c r="G63" t="s">
        <v>49</v>
      </c>
    </row>
    <row r="64" spans="1:7" x14ac:dyDescent="0.3">
      <c r="A64">
        <v>63</v>
      </c>
      <c r="B64" t="s">
        <v>198</v>
      </c>
      <c r="C64" t="s">
        <v>199</v>
      </c>
      <c r="D64" t="s">
        <v>200</v>
      </c>
      <c r="E64" t="s">
        <v>23</v>
      </c>
      <c r="F64" s="1">
        <v>45841.8125</v>
      </c>
      <c r="G64" t="s">
        <v>379</v>
      </c>
    </row>
    <row r="65" spans="1:7" x14ac:dyDescent="0.3">
      <c r="A65">
        <v>64</v>
      </c>
      <c r="B65" t="s">
        <v>201</v>
      </c>
      <c r="C65" t="s">
        <v>202</v>
      </c>
      <c r="D65" t="s">
        <v>203</v>
      </c>
      <c r="E65" t="s">
        <v>30</v>
      </c>
      <c r="F65" s="1">
        <v>45841.822916666664</v>
      </c>
      <c r="G65" t="s">
        <v>19</v>
      </c>
    </row>
    <row r="66" spans="1:7" x14ac:dyDescent="0.3">
      <c r="A66">
        <v>65</v>
      </c>
      <c r="B66" t="s">
        <v>204</v>
      </c>
      <c r="C66" t="s">
        <v>205</v>
      </c>
      <c r="D66" t="s">
        <v>206</v>
      </c>
      <c r="E66" t="s">
        <v>18</v>
      </c>
      <c r="F66" s="1">
        <v>45841.833333333336</v>
      </c>
      <c r="G66" t="s">
        <v>379</v>
      </c>
    </row>
    <row r="67" spans="1:7" x14ac:dyDescent="0.3">
      <c r="A67">
        <v>66</v>
      </c>
      <c r="B67" t="s">
        <v>207</v>
      </c>
      <c r="C67" t="s">
        <v>208</v>
      </c>
      <c r="D67" t="s">
        <v>209</v>
      </c>
      <c r="E67" t="s">
        <v>14</v>
      </c>
      <c r="F67" s="1">
        <v>45841.84375</v>
      </c>
      <c r="G67" t="s">
        <v>49</v>
      </c>
    </row>
    <row r="68" spans="1:7" x14ac:dyDescent="0.3">
      <c r="A68">
        <v>67</v>
      </c>
      <c r="B68" t="s">
        <v>210</v>
      </c>
      <c r="C68" t="s">
        <v>211</v>
      </c>
      <c r="D68" t="s">
        <v>212</v>
      </c>
      <c r="E68" t="s">
        <v>23</v>
      </c>
      <c r="F68" s="1">
        <v>45841.854166666664</v>
      </c>
      <c r="G68" t="s">
        <v>19</v>
      </c>
    </row>
    <row r="69" spans="1:7" x14ac:dyDescent="0.3">
      <c r="A69">
        <v>68</v>
      </c>
      <c r="B69" t="s">
        <v>213</v>
      </c>
      <c r="C69" t="s">
        <v>214</v>
      </c>
      <c r="D69" t="s">
        <v>215</v>
      </c>
      <c r="E69" t="s">
        <v>30</v>
      </c>
      <c r="F69" s="1">
        <v>45841.864583333336</v>
      </c>
      <c r="G69" t="s">
        <v>379</v>
      </c>
    </row>
    <row r="70" spans="1:7" x14ac:dyDescent="0.3">
      <c r="A70">
        <v>69</v>
      </c>
      <c r="B70" t="s">
        <v>216</v>
      </c>
      <c r="C70" t="s">
        <v>217</v>
      </c>
      <c r="D70" t="s">
        <v>218</v>
      </c>
      <c r="E70" t="s">
        <v>18</v>
      </c>
      <c r="F70" s="1">
        <v>45841.875</v>
      </c>
      <c r="G70" t="s">
        <v>49</v>
      </c>
    </row>
    <row r="71" spans="1:7" x14ac:dyDescent="0.3">
      <c r="A71">
        <v>70</v>
      </c>
      <c r="B71" t="s">
        <v>219</v>
      </c>
      <c r="C71" t="s">
        <v>220</v>
      </c>
      <c r="D71" t="s">
        <v>221</v>
      </c>
      <c r="E71" t="s">
        <v>14</v>
      </c>
      <c r="F71" s="1">
        <v>45841.885416666664</v>
      </c>
      <c r="G71" t="s">
        <v>379</v>
      </c>
    </row>
    <row r="72" spans="1:7" x14ac:dyDescent="0.3">
      <c r="A72">
        <v>71</v>
      </c>
      <c r="B72" t="s">
        <v>222</v>
      </c>
      <c r="C72" t="s">
        <v>223</v>
      </c>
      <c r="D72" t="s">
        <v>224</v>
      </c>
      <c r="E72" t="s">
        <v>23</v>
      </c>
      <c r="F72" s="1">
        <v>45841.895833333336</v>
      </c>
      <c r="G72" t="s">
        <v>19</v>
      </c>
    </row>
    <row r="73" spans="1:7" x14ac:dyDescent="0.3">
      <c r="A73">
        <v>72</v>
      </c>
      <c r="B73" t="s">
        <v>225</v>
      </c>
      <c r="C73" t="s">
        <v>226</v>
      </c>
      <c r="D73" t="s">
        <v>227</v>
      </c>
      <c r="E73" t="s">
        <v>30</v>
      </c>
      <c r="F73" s="1">
        <v>45841.90625</v>
      </c>
      <c r="G73" t="s">
        <v>49</v>
      </c>
    </row>
    <row r="74" spans="1:7" x14ac:dyDescent="0.3">
      <c r="A74">
        <v>73</v>
      </c>
      <c r="B74" t="s">
        <v>228</v>
      </c>
      <c r="C74" t="s">
        <v>229</v>
      </c>
      <c r="D74" t="s">
        <v>230</v>
      </c>
      <c r="E74" t="s">
        <v>18</v>
      </c>
      <c r="F74" s="1">
        <v>45841.916666666664</v>
      </c>
      <c r="G74" t="s">
        <v>379</v>
      </c>
    </row>
    <row r="75" spans="1:7" x14ac:dyDescent="0.3">
      <c r="A75">
        <v>74</v>
      </c>
      <c r="B75" t="s">
        <v>231</v>
      </c>
      <c r="C75" t="s">
        <v>232</v>
      </c>
      <c r="D75" t="s">
        <v>233</v>
      </c>
      <c r="E75" t="s">
        <v>14</v>
      </c>
      <c r="F75" s="1">
        <v>45841.927083333336</v>
      </c>
      <c r="G75" t="s">
        <v>19</v>
      </c>
    </row>
    <row r="76" spans="1:7" x14ac:dyDescent="0.3">
      <c r="A76">
        <v>75</v>
      </c>
      <c r="B76" t="s">
        <v>234</v>
      </c>
      <c r="C76" t="s">
        <v>235</v>
      </c>
      <c r="D76" t="s">
        <v>236</v>
      </c>
      <c r="E76" t="s">
        <v>23</v>
      </c>
      <c r="F76" s="1">
        <v>45841.9375</v>
      </c>
      <c r="G76" t="s">
        <v>379</v>
      </c>
    </row>
    <row r="77" spans="1:7" x14ac:dyDescent="0.3">
      <c r="A77">
        <v>76</v>
      </c>
      <c r="B77" t="s">
        <v>237</v>
      </c>
      <c r="C77" t="s">
        <v>238</v>
      </c>
      <c r="D77" t="s">
        <v>239</v>
      </c>
      <c r="E77" t="s">
        <v>30</v>
      </c>
      <c r="F77" s="1">
        <v>45841.947916666664</v>
      </c>
      <c r="G77" t="s">
        <v>49</v>
      </c>
    </row>
    <row r="78" spans="1:7" x14ac:dyDescent="0.3">
      <c r="A78">
        <v>77</v>
      </c>
      <c r="B78" t="s">
        <v>240</v>
      </c>
      <c r="C78" t="s">
        <v>241</v>
      </c>
      <c r="D78" t="s">
        <v>242</v>
      </c>
      <c r="E78" t="s">
        <v>18</v>
      </c>
      <c r="F78" s="1">
        <v>45841.958333333336</v>
      </c>
      <c r="G78" t="s">
        <v>19</v>
      </c>
    </row>
    <row r="79" spans="1:7" x14ac:dyDescent="0.3">
      <c r="A79">
        <v>78</v>
      </c>
      <c r="B79" t="s">
        <v>243</v>
      </c>
      <c r="C79" t="s">
        <v>244</v>
      </c>
      <c r="D79" t="s">
        <v>245</v>
      </c>
      <c r="E79" t="s">
        <v>14</v>
      </c>
      <c r="F79" s="1">
        <v>45841.96875</v>
      </c>
      <c r="G79" t="s">
        <v>379</v>
      </c>
    </row>
    <row r="80" spans="1:7" x14ac:dyDescent="0.3">
      <c r="A80">
        <v>79</v>
      </c>
      <c r="B80" t="s">
        <v>246</v>
      </c>
      <c r="C80" t="s">
        <v>247</v>
      </c>
      <c r="D80" t="s">
        <v>248</v>
      </c>
      <c r="E80" t="s">
        <v>23</v>
      </c>
      <c r="F80" s="1">
        <v>45841.979166666664</v>
      </c>
      <c r="G80" t="s">
        <v>49</v>
      </c>
    </row>
    <row r="81" spans="1:7" x14ac:dyDescent="0.3">
      <c r="A81">
        <v>80</v>
      </c>
      <c r="B81" t="s">
        <v>249</v>
      </c>
      <c r="C81" t="s">
        <v>250</v>
      </c>
      <c r="D81" t="s">
        <v>251</v>
      </c>
      <c r="E81" t="s">
        <v>30</v>
      </c>
      <c r="F81" s="1">
        <v>45841.989583333336</v>
      </c>
      <c r="G81" t="s">
        <v>379</v>
      </c>
    </row>
    <row r="82" spans="1:7" x14ac:dyDescent="0.3">
      <c r="A82">
        <v>81</v>
      </c>
      <c r="B82" t="s">
        <v>252</v>
      </c>
      <c r="C82" t="s">
        <v>253</v>
      </c>
      <c r="D82" t="s">
        <v>254</v>
      </c>
      <c r="E82" t="s">
        <v>18</v>
      </c>
      <c r="F82" s="1">
        <v>45842.375</v>
      </c>
      <c r="G82" t="s">
        <v>19</v>
      </c>
    </row>
    <row r="83" spans="1:7" x14ac:dyDescent="0.3">
      <c r="A83">
        <v>82</v>
      </c>
      <c r="B83" t="s">
        <v>255</v>
      </c>
      <c r="C83" t="s">
        <v>256</v>
      </c>
      <c r="D83" t="s">
        <v>257</v>
      </c>
      <c r="E83" t="s">
        <v>14</v>
      </c>
      <c r="F83" s="1">
        <v>45842.385416666664</v>
      </c>
      <c r="G83" t="s">
        <v>49</v>
      </c>
    </row>
    <row r="84" spans="1:7" x14ac:dyDescent="0.3">
      <c r="A84">
        <v>83</v>
      </c>
      <c r="B84" t="s">
        <v>258</v>
      </c>
      <c r="C84" t="s">
        <v>259</v>
      </c>
      <c r="D84" t="s">
        <v>260</v>
      </c>
      <c r="E84" t="s">
        <v>23</v>
      </c>
      <c r="F84" s="1">
        <v>45842.395833333336</v>
      </c>
      <c r="G84" t="s">
        <v>379</v>
      </c>
    </row>
    <row r="85" spans="1:7" x14ac:dyDescent="0.3">
      <c r="A85">
        <v>84</v>
      </c>
      <c r="B85" t="s">
        <v>261</v>
      </c>
      <c r="C85" t="s">
        <v>262</v>
      </c>
      <c r="D85" t="s">
        <v>263</v>
      </c>
      <c r="E85" t="s">
        <v>30</v>
      </c>
      <c r="F85" s="1">
        <v>45842.40625</v>
      </c>
      <c r="G85" t="s">
        <v>19</v>
      </c>
    </row>
    <row r="86" spans="1:7" x14ac:dyDescent="0.3">
      <c r="A86">
        <v>85</v>
      </c>
      <c r="B86" t="s">
        <v>264</v>
      </c>
      <c r="C86" t="s">
        <v>265</v>
      </c>
      <c r="D86" t="s">
        <v>266</v>
      </c>
      <c r="E86" t="s">
        <v>18</v>
      </c>
      <c r="F86" s="1">
        <v>45842.416666666664</v>
      </c>
      <c r="G86" t="s">
        <v>379</v>
      </c>
    </row>
    <row r="87" spans="1:7" x14ac:dyDescent="0.3">
      <c r="A87">
        <v>86</v>
      </c>
      <c r="B87" t="s">
        <v>267</v>
      </c>
      <c r="C87" t="s">
        <v>268</v>
      </c>
      <c r="D87" t="s">
        <v>269</v>
      </c>
      <c r="E87" t="s">
        <v>14</v>
      </c>
      <c r="F87" s="1">
        <v>45842.427083333336</v>
      </c>
      <c r="G87" t="s">
        <v>49</v>
      </c>
    </row>
    <row r="88" spans="1:7" x14ac:dyDescent="0.3">
      <c r="A88">
        <v>87</v>
      </c>
      <c r="B88" t="s">
        <v>270</v>
      </c>
      <c r="C88" t="s">
        <v>271</v>
      </c>
      <c r="D88" t="s">
        <v>272</v>
      </c>
      <c r="E88" t="s">
        <v>23</v>
      </c>
      <c r="F88" s="1">
        <v>45842.4375</v>
      </c>
      <c r="G88" t="s">
        <v>19</v>
      </c>
    </row>
    <row r="89" spans="1:7" x14ac:dyDescent="0.3">
      <c r="A89">
        <v>88</v>
      </c>
      <c r="B89" t="s">
        <v>273</v>
      </c>
      <c r="C89" t="s">
        <v>274</v>
      </c>
      <c r="D89" t="s">
        <v>275</v>
      </c>
      <c r="E89" t="s">
        <v>30</v>
      </c>
      <c r="F89" s="1">
        <v>45842.447916666664</v>
      </c>
      <c r="G89" t="s">
        <v>379</v>
      </c>
    </row>
    <row r="90" spans="1:7" x14ac:dyDescent="0.3">
      <c r="A90">
        <v>89</v>
      </c>
      <c r="B90" t="s">
        <v>276</v>
      </c>
      <c r="C90" t="s">
        <v>277</v>
      </c>
      <c r="D90" t="s">
        <v>278</v>
      </c>
      <c r="E90" t="s">
        <v>18</v>
      </c>
      <c r="F90" s="1">
        <v>45842.458333333336</v>
      </c>
      <c r="G90" t="s">
        <v>49</v>
      </c>
    </row>
    <row r="91" spans="1:7" x14ac:dyDescent="0.3">
      <c r="A91">
        <v>90</v>
      </c>
      <c r="B91" t="s">
        <v>279</v>
      </c>
      <c r="C91" t="s">
        <v>280</v>
      </c>
      <c r="D91" t="s">
        <v>281</v>
      </c>
      <c r="E91" t="s">
        <v>14</v>
      </c>
      <c r="F91" s="1">
        <v>45842.46875</v>
      </c>
      <c r="G91" t="s">
        <v>379</v>
      </c>
    </row>
    <row r="92" spans="1:7" x14ac:dyDescent="0.3">
      <c r="A92">
        <v>91</v>
      </c>
      <c r="B92" t="s">
        <v>282</v>
      </c>
      <c r="C92" t="s">
        <v>283</v>
      </c>
      <c r="D92" t="s">
        <v>284</v>
      </c>
      <c r="E92" t="s">
        <v>23</v>
      </c>
      <c r="F92" s="1">
        <v>45842.479166666664</v>
      </c>
      <c r="G92" t="s">
        <v>19</v>
      </c>
    </row>
    <row r="93" spans="1:7" x14ac:dyDescent="0.3">
      <c r="A93">
        <v>92</v>
      </c>
      <c r="B93" t="s">
        <v>285</v>
      </c>
      <c r="C93" t="s">
        <v>286</v>
      </c>
      <c r="D93" t="s">
        <v>287</v>
      </c>
      <c r="E93" t="s">
        <v>30</v>
      </c>
      <c r="F93" s="1">
        <v>45842.489583333336</v>
      </c>
      <c r="G93" t="s">
        <v>49</v>
      </c>
    </row>
    <row r="94" spans="1:7" x14ac:dyDescent="0.3">
      <c r="A94">
        <v>93</v>
      </c>
      <c r="B94" t="s">
        <v>288</v>
      </c>
      <c r="C94" t="s">
        <v>289</v>
      </c>
      <c r="D94" t="s">
        <v>290</v>
      </c>
      <c r="E94" t="s">
        <v>18</v>
      </c>
      <c r="F94" s="1">
        <v>45842.5</v>
      </c>
      <c r="G94" t="s">
        <v>379</v>
      </c>
    </row>
    <row r="95" spans="1:7" x14ac:dyDescent="0.3">
      <c r="A95">
        <v>94</v>
      </c>
      <c r="B95" t="s">
        <v>291</v>
      </c>
      <c r="C95" t="s">
        <v>292</v>
      </c>
      <c r="D95" t="s">
        <v>293</v>
      </c>
      <c r="E95" t="s">
        <v>14</v>
      </c>
      <c r="F95" s="1">
        <v>45842.510416666664</v>
      </c>
      <c r="G95" t="s">
        <v>19</v>
      </c>
    </row>
    <row r="96" spans="1:7" x14ac:dyDescent="0.3">
      <c r="A96">
        <v>95</v>
      </c>
      <c r="B96" t="s">
        <v>294</v>
      </c>
      <c r="C96" t="s">
        <v>295</v>
      </c>
      <c r="D96" t="s">
        <v>296</v>
      </c>
      <c r="E96" t="s">
        <v>23</v>
      </c>
      <c r="F96" s="1">
        <v>45842.520833333336</v>
      </c>
      <c r="G96" t="s">
        <v>379</v>
      </c>
    </row>
    <row r="97" spans="1:7" x14ac:dyDescent="0.3">
      <c r="A97">
        <v>96</v>
      </c>
      <c r="B97" t="s">
        <v>297</v>
      </c>
      <c r="C97" t="s">
        <v>298</v>
      </c>
      <c r="D97" t="s">
        <v>299</v>
      </c>
      <c r="E97" t="s">
        <v>30</v>
      </c>
      <c r="F97" s="1">
        <v>45842.53125</v>
      </c>
      <c r="G97" t="s">
        <v>49</v>
      </c>
    </row>
    <row r="98" spans="1:7" x14ac:dyDescent="0.3">
      <c r="A98">
        <v>97</v>
      </c>
      <c r="B98" t="s">
        <v>300</v>
      </c>
      <c r="C98" t="s">
        <v>301</v>
      </c>
      <c r="D98" t="s">
        <v>302</v>
      </c>
      <c r="E98" t="s">
        <v>18</v>
      </c>
      <c r="F98" s="1">
        <v>45842.541666666664</v>
      </c>
      <c r="G98" t="s">
        <v>19</v>
      </c>
    </row>
    <row r="99" spans="1:7" x14ac:dyDescent="0.3">
      <c r="A99">
        <v>98</v>
      </c>
      <c r="B99" t="s">
        <v>303</v>
      </c>
      <c r="C99" t="s">
        <v>304</v>
      </c>
      <c r="D99" t="s">
        <v>305</v>
      </c>
      <c r="E99" t="s">
        <v>14</v>
      </c>
      <c r="F99" s="1">
        <v>45842.552083333336</v>
      </c>
      <c r="G99" t="s">
        <v>379</v>
      </c>
    </row>
    <row r="100" spans="1:7" x14ac:dyDescent="0.3">
      <c r="A100">
        <v>99</v>
      </c>
      <c r="B100" t="s">
        <v>306</v>
      </c>
      <c r="C100" t="s">
        <v>307</v>
      </c>
      <c r="D100" t="s">
        <v>308</v>
      </c>
      <c r="E100" t="s">
        <v>23</v>
      </c>
      <c r="F100" s="1">
        <v>45842.5625</v>
      </c>
      <c r="G100" t="s">
        <v>49</v>
      </c>
    </row>
    <row r="101" spans="1:7" x14ac:dyDescent="0.3">
      <c r="A101">
        <v>100</v>
      </c>
      <c r="B101" t="s">
        <v>309</v>
      </c>
      <c r="C101" t="s">
        <v>310</v>
      </c>
      <c r="D101" t="s">
        <v>311</v>
      </c>
      <c r="E101" t="s">
        <v>30</v>
      </c>
      <c r="F101" s="1">
        <v>45842.572916666664</v>
      </c>
      <c r="G101" t="s">
        <v>379</v>
      </c>
    </row>
  </sheetData>
  <conditionalFormatting sqref="A1:A1048576">
    <cfRule type="duplicateValues" dxfId="11" priority="1"/>
  </conditionalFormatting>
  <conditionalFormatting sqref="A5">
    <cfRule type="duplicateValues" dxfId="10" priority="2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6945-7507-4964-9B7B-654F728B4B90}">
  <dimension ref="A1:D201"/>
  <sheetViews>
    <sheetView workbookViewId="0">
      <selection activeCell="F3" sqref="F3"/>
    </sheetView>
  </sheetViews>
  <sheetFormatPr defaultRowHeight="14.4" x14ac:dyDescent="0.3"/>
  <cols>
    <col min="1" max="1" width="19.109375" bestFit="1" customWidth="1"/>
    <col min="2" max="2" width="12.21875" bestFit="1" customWidth="1"/>
    <col min="3" max="3" width="11.6640625" bestFit="1" customWidth="1"/>
    <col min="4" max="4" width="10.109375" bestFit="1" customWidth="1"/>
  </cols>
  <sheetData>
    <row r="1" spans="1:4" x14ac:dyDescent="0.3">
      <c r="A1" t="s">
        <v>377</v>
      </c>
      <c r="B1" t="s">
        <v>326</v>
      </c>
      <c r="C1" t="s">
        <v>344</v>
      </c>
      <c r="D1" t="s">
        <v>378</v>
      </c>
    </row>
    <row r="2" spans="1:4" x14ac:dyDescent="0.3">
      <c r="A2">
        <v>1</v>
      </c>
      <c r="B2">
        <v>1</v>
      </c>
      <c r="C2">
        <v>1</v>
      </c>
      <c r="D2">
        <v>2</v>
      </c>
    </row>
    <row r="3" spans="1:4" x14ac:dyDescent="0.3">
      <c r="A3">
        <v>2</v>
      </c>
      <c r="B3">
        <v>1</v>
      </c>
      <c r="C3">
        <v>4</v>
      </c>
      <c r="D3">
        <v>1</v>
      </c>
    </row>
    <row r="4" spans="1:4" x14ac:dyDescent="0.3">
      <c r="A4">
        <v>3</v>
      </c>
      <c r="B4">
        <v>2</v>
      </c>
      <c r="C4">
        <v>2</v>
      </c>
      <c r="D4">
        <v>2</v>
      </c>
    </row>
    <row r="5" spans="1:4" x14ac:dyDescent="0.3">
      <c r="A5">
        <v>4</v>
      </c>
      <c r="B5">
        <v>2</v>
      </c>
      <c r="C5">
        <v>3</v>
      </c>
      <c r="D5">
        <v>2</v>
      </c>
    </row>
    <row r="6" spans="1:4" x14ac:dyDescent="0.3">
      <c r="A6">
        <v>5</v>
      </c>
      <c r="B6">
        <v>3</v>
      </c>
      <c r="C6">
        <v>1</v>
      </c>
      <c r="D6">
        <v>1</v>
      </c>
    </row>
    <row r="7" spans="1:4" x14ac:dyDescent="0.3">
      <c r="A7">
        <v>6</v>
      </c>
      <c r="B7">
        <v>4</v>
      </c>
      <c r="C7">
        <v>5</v>
      </c>
      <c r="D7">
        <v>2</v>
      </c>
    </row>
    <row r="8" spans="1:4" x14ac:dyDescent="0.3">
      <c r="A8">
        <v>7</v>
      </c>
      <c r="B8">
        <v>4</v>
      </c>
      <c r="C8">
        <v>7</v>
      </c>
      <c r="D8">
        <v>1</v>
      </c>
    </row>
    <row r="9" spans="1:4" x14ac:dyDescent="0.3">
      <c r="A9">
        <v>8</v>
      </c>
      <c r="B9">
        <v>5</v>
      </c>
      <c r="C9">
        <v>6</v>
      </c>
      <c r="D9">
        <v>1</v>
      </c>
    </row>
    <row r="10" spans="1:4" x14ac:dyDescent="0.3">
      <c r="A10">
        <v>9</v>
      </c>
      <c r="B10">
        <v>6</v>
      </c>
      <c r="C10">
        <v>8</v>
      </c>
      <c r="D10">
        <v>2</v>
      </c>
    </row>
    <row r="11" spans="1:4" x14ac:dyDescent="0.3">
      <c r="A11">
        <v>10</v>
      </c>
      <c r="B11">
        <v>8</v>
      </c>
      <c r="C11">
        <v>9</v>
      </c>
      <c r="D11">
        <v>1</v>
      </c>
    </row>
    <row r="12" spans="1:4" x14ac:dyDescent="0.3">
      <c r="A12">
        <v>11</v>
      </c>
      <c r="B12">
        <v>9</v>
      </c>
      <c r="C12">
        <v>10</v>
      </c>
      <c r="D12">
        <v>2</v>
      </c>
    </row>
    <row r="13" spans="1:4" x14ac:dyDescent="0.3">
      <c r="A13">
        <v>12</v>
      </c>
      <c r="B13">
        <v>10</v>
      </c>
      <c r="C13">
        <v>3</v>
      </c>
      <c r="D13">
        <v>3</v>
      </c>
    </row>
    <row r="14" spans="1:4" x14ac:dyDescent="0.3">
      <c r="A14">
        <v>13</v>
      </c>
      <c r="B14">
        <v>11</v>
      </c>
      <c r="C14">
        <v>11</v>
      </c>
      <c r="D14">
        <v>2</v>
      </c>
    </row>
    <row r="15" spans="1:4" x14ac:dyDescent="0.3">
      <c r="A15">
        <v>14</v>
      </c>
      <c r="B15">
        <v>11</v>
      </c>
      <c r="C15">
        <v>12</v>
      </c>
      <c r="D15">
        <v>1</v>
      </c>
    </row>
    <row r="16" spans="1:4" x14ac:dyDescent="0.3">
      <c r="A16">
        <v>15</v>
      </c>
      <c r="B16">
        <v>12</v>
      </c>
      <c r="C16">
        <v>13</v>
      </c>
      <c r="D16">
        <v>2</v>
      </c>
    </row>
    <row r="17" spans="1:4" x14ac:dyDescent="0.3">
      <c r="A17">
        <v>16</v>
      </c>
      <c r="B17">
        <v>12</v>
      </c>
      <c r="C17">
        <v>14</v>
      </c>
      <c r="D17">
        <v>1</v>
      </c>
    </row>
    <row r="18" spans="1:4" x14ac:dyDescent="0.3">
      <c r="A18">
        <v>17</v>
      </c>
      <c r="B18">
        <v>13</v>
      </c>
      <c r="C18">
        <v>15</v>
      </c>
      <c r="D18">
        <v>1</v>
      </c>
    </row>
    <row r="19" spans="1:4" x14ac:dyDescent="0.3">
      <c r="A19">
        <v>18</v>
      </c>
      <c r="B19">
        <v>14</v>
      </c>
      <c r="C19">
        <v>4</v>
      </c>
      <c r="D19">
        <v>2</v>
      </c>
    </row>
    <row r="20" spans="1:4" x14ac:dyDescent="0.3">
      <c r="A20">
        <v>19</v>
      </c>
      <c r="B20">
        <v>14</v>
      </c>
      <c r="C20">
        <v>6</v>
      </c>
      <c r="D20">
        <v>1</v>
      </c>
    </row>
    <row r="21" spans="1:4" x14ac:dyDescent="0.3">
      <c r="A21">
        <v>20</v>
      </c>
      <c r="B21">
        <v>15</v>
      </c>
      <c r="C21">
        <v>10</v>
      </c>
      <c r="D21">
        <v>2</v>
      </c>
    </row>
    <row r="22" spans="1:4" x14ac:dyDescent="0.3">
      <c r="A22">
        <v>21</v>
      </c>
      <c r="B22">
        <v>16</v>
      </c>
      <c r="C22">
        <v>28</v>
      </c>
      <c r="D22">
        <v>1</v>
      </c>
    </row>
    <row r="23" spans="1:4" x14ac:dyDescent="0.3">
      <c r="A23">
        <v>22</v>
      </c>
      <c r="B23">
        <v>17</v>
      </c>
      <c r="C23">
        <v>5</v>
      </c>
      <c r="D23">
        <v>2</v>
      </c>
    </row>
    <row r="24" spans="1:4" x14ac:dyDescent="0.3">
      <c r="A24">
        <v>23</v>
      </c>
      <c r="B24">
        <v>18</v>
      </c>
      <c r="C24">
        <v>12</v>
      </c>
      <c r="D24">
        <v>3</v>
      </c>
    </row>
    <row r="25" spans="1:4" x14ac:dyDescent="0.3">
      <c r="A25">
        <v>24</v>
      </c>
      <c r="B25">
        <v>19</v>
      </c>
      <c r="C25">
        <v>19</v>
      </c>
      <c r="D25">
        <v>1</v>
      </c>
    </row>
    <row r="26" spans="1:4" x14ac:dyDescent="0.3">
      <c r="A26">
        <v>25</v>
      </c>
      <c r="B26">
        <v>20</v>
      </c>
      <c r="C26">
        <v>26</v>
      </c>
      <c r="D26">
        <v>2</v>
      </c>
    </row>
    <row r="27" spans="1:4" x14ac:dyDescent="0.3">
      <c r="A27">
        <v>26</v>
      </c>
      <c r="B27">
        <v>21</v>
      </c>
      <c r="C27">
        <v>3</v>
      </c>
      <c r="D27">
        <v>3</v>
      </c>
    </row>
    <row r="28" spans="1:4" x14ac:dyDescent="0.3">
      <c r="A28">
        <v>27</v>
      </c>
      <c r="B28">
        <v>22</v>
      </c>
      <c r="C28">
        <v>10</v>
      </c>
      <c r="D28">
        <v>1</v>
      </c>
    </row>
    <row r="29" spans="1:4" x14ac:dyDescent="0.3">
      <c r="A29">
        <v>28</v>
      </c>
      <c r="B29">
        <v>23</v>
      </c>
      <c r="C29">
        <v>17</v>
      </c>
      <c r="D29">
        <v>2</v>
      </c>
    </row>
    <row r="30" spans="1:4" x14ac:dyDescent="0.3">
      <c r="A30">
        <v>29</v>
      </c>
      <c r="B30">
        <v>24</v>
      </c>
      <c r="C30">
        <v>24</v>
      </c>
      <c r="D30">
        <v>3</v>
      </c>
    </row>
    <row r="31" spans="1:4" x14ac:dyDescent="0.3">
      <c r="A31">
        <v>30</v>
      </c>
      <c r="B31">
        <v>25</v>
      </c>
      <c r="C31">
        <v>1</v>
      </c>
      <c r="D31">
        <v>1</v>
      </c>
    </row>
    <row r="32" spans="1:4" x14ac:dyDescent="0.3">
      <c r="A32">
        <v>31</v>
      </c>
      <c r="B32">
        <v>26</v>
      </c>
      <c r="C32">
        <v>8</v>
      </c>
      <c r="D32">
        <v>2</v>
      </c>
    </row>
    <row r="33" spans="1:4" x14ac:dyDescent="0.3">
      <c r="A33">
        <v>32</v>
      </c>
      <c r="B33">
        <v>27</v>
      </c>
      <c r="C33">
        <v>15</v>
      </c>
      <c r="D33">
        <v>3</v>
      </c>
    </row>
    <row r="34" spans="1:4" x14ac:dyDescent="0.3">
      <c r="A34">
        <v>33</v>
      </c>
      <c r="B34">
        <v>28</v>
      </c>
      <c r="C34">
        <v>22</v>
      </c>
      <c r="D34">
        <v>1</v>
      </c>
    </row>
    <row r="35" spans="1:4" x14ac:dyDescent="0.3">
      <c r="A35">
        <v>34</v>
      </c>
      <c r="B35">
        <v>29</v>
      </c>
      <c r="C35">
        <v>29</v>
      </c>
      <c r="D35">
        <v>2</v>
      </c>
    </row>
    <row r="36" spans="1:4" x14ac:dyDescent="0.3">
      <c r="A36">
        <v>35</v>
      </c>
      <c r="B36">
        <v>30</v>
      </c>
      <c r="C36">
        <v>6</v>
      </c>
      <c r="D36">
        <v>3</v>
      </c>
    </row>
    <row r="37" spans="1:4" x14ac:dyDescent="0.3">
      <c r="A37">
        <v>36</v>
      </c>
      <c r="B37">
        <v>31</v>
      </c>
      <c r="C37">
        <v>13</v>
      </c>
      <c r="D37">
        <v>1</v>
      </c>
    </row>
    <row r="38" spans="1:4" x14ac:dyDescent="0.3">
      <c r="A38">
        <v>37</v>
      </c>
      <c r="B38">
        <v>32</v>
      </c>
      <c r="C38">
        <v>20</v>
      </c>
      <c r="D38">
        <v>2</v>
      </c>
    </row>
    <row r="39" spans="1:4" x14ac:dyDescent="0.3">
      <c r="A39">
        <v>38</v>
      </c>
      <c r="B39">
        <v>33</v>
      </c>
      <c r="C39">
        <v>27</v>
      </c>
      <c r="D39">
        <v>3</v>
      </c>
    </row>
    <row r="40" spans="1:4" x14ac:dyDescent="0.3">
      <c r="A40">
        <v>39</v>
      </c>
      <c r="B40">
        <v>34</v>
      </c>
      <c r="C40">
        <v>4</v>
      </c>
      <c r="D40">
        <v>1</v>
      </c>
    </row>
    <row r="41" spans="1:4" x14ac:dyDescent="0.3">
      <c r="A41">
        <v>40</v>
      </c>
      <c r="B41">
        <v>35</v>
      </c>
      <c r="C41">
        <v>11</v>
      </c>
      <c r="D41">
        <v>2</v>
      </c>
    </row>
    <row r="42" spans="1:4" x14ac:dyDescent="0.3">
      <c r="A42">
        <v>41</v>
      </c>
      <c r="B42">
        <v>36</v>
      </c>
      <c r="C42">
        <v>18</v>
      </c>
      <c r="D42">
        <v>3</v>
      </c>
    </row>
    <row r="43" spans="1:4" x14ac:dyDescent="0.3">
      <c r="A43">
        <v>42</v>
      </c>
      <c r="B43">
        <v>37</v>
      </c>
      <c r="C43">
        <v>25</v>
      </c>
      <c r="D43">
        <v>1</v>
      </c>
    </row>
    <row r="44" spans="1:4" x14ac:dyDescent="0.3">
      <c r="A44">
        <v>43</v>
      </c>
      <c r="B44">
        <v>38</v>
      </c>
      <c r="C44">
        <v>2</v>
      </c>
      <c r="D44">
        <v>2</v>
      </c>
    </row>
    <row r="45" spans="1:4" x14ac:dyDescent="0.3">
      <c r="A45">
        <v>44</v>
      </c>
      <c r="B45">
        <v>39</v>
      </c>
      <c r="C45">
        <v>9</v>
      </c>
      <c r="D45">
        <v>3</v>
      </c>
    </row>
    <row r="46" spans="1:4" x14ac:dyDescent="0.3">
      <c r="A46">
        <v>45</v>
      </c>
      <c r="B46">
        <v>40</v>
      </c>
      <c r="C46">
        <v>16</v>
      </c>
      <c r="D46">
        <v>1</v>
      </c>
    </row>
    <row r="47" spans="1:4" x14ac:dyDescent="0.3">
      <c r="A47">
        <v>46</v>
      </c>
      <c r="B47">
        <v>41</v>
      </c>
      <c r="C47">
        <v>23</v>
      </c>
      <c r="D47">
        <v>2</v>
      </c>
    </row>
    <row r="48" spans="1:4" x14ac:dyDescent="0.3">
      <c r="A48">
        <v>47</v>
      </c>
      <c r="B48">
        <v>42</v>
      </c>
      <c r="C48">
        <v>30</v>
      </c>
      <c r="D48">
        <v>3</v>
      </c>
    </row>
    <row r="49" spans="1:4" x14ac:dyDescent="0.3">
      <c r="A49">
        <v>48</v>
      </c>
      <c r="B49">
        <v>43</v>
      </c>
      <c r="C49">
        <v>7</v>
      </c>
      <c r="D49">
        <v>1</v>
      </c>
    </row>
    <row r="50" spans="1:4" x14ac:dyDescent="0.3">
      <c r="A50">
        <v>49</v>
      </c>
      <c r="B50">
        <v>44</v>
      </c>
      <c r="C50">
        <v>14</v>
      </c>
      <c r="D50">
        <v>2</v>
      </c>
    </row>
    <row r="51" spans="1:4" x14ac:dyDescent="0.3">
      <c r="A51">
        <v>50</v>
      </c>
      <c r="B51">
        <v>45</v>
      </c>
      <c r="C51">
        <v>21</v>
      </c>
      <c r="D51">
        <v>3</v>
      </c>
    </row>
    <row r="52" spans="1:4" x14ac:dyDescent="0.3">
      <c r="A52">
        <v>51</v>
      </c>
      <c r="B52">
        <v>46</v>
      </c>
      <c r="C52">
        <v>28</v>
      </c>
      <c r="D52">
        <v>1</v>
      </c>
    </row>
    <row r="53" spans="1:4" x14ac:dyDescent="0.3">
      <c r="A53">
        <v>52</v>
      </c>
      <c r="B53">
        <v>47</v>
      </c>
      <c r="C53">
        <v>5</v>
      </c>
      <c r="D53">
        <v>2</v>
      </c>
    </row>
    <row r="54" spans="1:4" x14ac:dyDescent="0.3">
      <c r="A54">
        <v>53</v>
      </c>
      <c r="B54">
        <v>48</v>
      </c>
      <c r="C54">
        <v>12</v>
      </c>
      <c r="D54">
        <v>3</v>
      </c>
    </row>
    <row r="55" spans="1:4" x14ac:dyDescent="0.3">
      <c r="A55">
        <v>54</v>
      </c>
      <c r="B55">
        <v>49</v>
      </c>
      <c r="C55">
        <v>19</v>
      </c>
      <c r="D55">
        <v>1</v>
      </c>
    </row>
    <row r="56" spans="1:4" x14ac:dyDescent="0.3">
      <c r="A56">
        <v>55</v>
      </c>
      <c r="B56">
        <v>50</v>
      </c>
      <c r="C56">
        <v>26</v>
      </c>
      <c r="D56">
        <v>2</v>
      </c>
    </row>
    <row r="57" spans="1:4" x14ac:dyDescent="0.3">
      <c r="A57">
        <v>56</v>
      </c>
      <c r="B57">
        <v>51</v>
      </c>
      <c r="C57">
        <v>3</v>
      </c>
      <c r="D57">
        <v>3</v>
      </c>
    </row>
    <row r="58" spans="1:4" x14ac:dyDescent="0.3">
      <c r="A58">
        <v>57</v>
      </c>
      <c r="B58">
        <v>52</v>
      </c>
      <c r="C58">
        <v>10</v>
      </c>
      <c r="D58">
        <v>1</v>
      </c>
    </row>
    <row r="59" spans="1:4" x14ac:dyDescent="0.3">
      <c r="A59">
        <v>58</v>
      </c>
      <c r="B59">
        <v>53</v>
      </c>
      <c r="C59">
        <v>17</v>
      </c>
      <c r="D59">
        <v>2</v>
      </c>
    </row>
    <row r="60" spans="1:4" x14ac:dyDescent="0.3">
      <c r="A60">
        <v>59</v>
      </c>
      <c r="B60">
        <v>54</v>
      </c>
      <c r="C60">
        <v>24</v>
      </c>
      <c r="D60">
        <v>3</v>
      </c>
    </row>
    <row r="61" spans="1:4" x14ac:dyDescent="0.3">
      <c r="A61">
        <v>60</v>
      </c>
      <c r="B61">
        <v>55</v>
      </c>
      <c r="C61">
        <v>1</v>
      </c>
      <c r="D61">
        <v>1</v>
      </c>
    </row>
    <row r="62" spans="1:4" x14ac:dyDescent="0.3">
      <c r="A62">
        <v>61</v>
      </c>
      <c r="B62">
        <v>56</v>
      </c>
      <c r="C62">
        <v>8</v>
      </c>
      <c r="D62">
        <v>2</v>
      </c>
    </row>
    <row r="63" spans="1:4" x14ac:dyDescent="0.3">
      <c r="A63">
        <v>62</v>
      </c>
      <c r="B63">
        <v>57</v>
      </c>
      <c r="C63">
        <v>15</v>
      </c>
      <c r="D63">
        <v>3</v>
      </c>
    </row>
    <row r="64" spans="1:4" x14ac:dyDescent="0.3">
      <c r="A64">
        <v>63</v>
      </c>
      <c r="B64">
        <v>58</v>
      </c>
      <c r="C64">
        <v>22</v>
      </c>
      <c r="D64">
        <v>1</v>
      </c>
    </row>
    <row r="65" spans="1:4" x14ac:dyDescent="0.3">
      <c r="A65">
        <v>64</v>
      </c>
      <c r="B65">
        <v>59</v>
      </c>
      <c r="C65">
        <v>29</v>
      </c>
      <c r="D65">
        <v>2</v>
      </c>
    </row>
    <row r="66" spans="1:4" x14ac:dyDescent="0.3">
      <c r="A66">
        <v>65</v>
      </c>
      <c r="B66">
        <v>60</v>
      </c>
      <c r="C66">
        <v>6</v>
      </c>
      <c r="D66">
        <v>3</v>
      </c>
    </row>
    <row r="67" spans="1:4" x14ac:dyDescent="0.3">
      <c r="A67">
        <v>66</v>
      </c>
      <c r="B67">
        <v>61</v>
      </c>
      <c r="C67">
        <v>13</v>
      </c>
      <c r="D67">
        <v>1</v>
      </c>
    </row>
    <row r="68" spans="1:4" x14ac:dyDescent="0.3">
      <c r="A68">
        <v>67</v>
      </c>
      <c r="B68">
        <v>62</v>
      </c>
      <c r="C68">
        <v>20</v>
      </c>
      <c r="D68">
        <v>2</v>
      </c>
    </row>
    <row r="69" spans="1:4" x14ac:dyDescent="0.3">
      <c r="A69">
        <v>68</v>
      </c>
      <c r="B69">
        <v>63</v>
      </c>
      <c r="C69">
        <v>27</v>
      </c>
      <c r="D69">
        <v>3</v>
      </c>
    </row>
    <row r="70" spans="1:4" x14ac:dyDescent="0.3">
      <c r="A70">
        <v>69</v>
      </c>
      <c r="B70">
        <v>64</v>
      </c>
      <c r="C70">
        <v>4</v>
      </c>
      <c r="D70">
        <v>1</v>
      </c>
    </row>
    <row r="71" spans="1:4" x14ac:dyDescent="0.3">
      <c r="A71">
        <v>70</v>
      </c>
      <c r="B71">
        <v>65</v>
      </c>
      <c r="C71">
        <v>11</v>
      </c>
      <c r="D71">
        <v>2</v>
      </c>
    </row>
    <row r="72" spans="1:4" x14ac:dyDescent="0.3">
      <c r="A72">
        <v>71</v>
      </c>
      <c r="B72">
        <v>66</v>
      </c>
      <c r="C72">
        <v>18</v>
      </c>
      <c r="D72">
        <v>3</v>
      </c>
    </row>
    <row r="73" spans="1:4" x14ac:dyDescent="0.3">
      <c r="A73">
        <v>72</v>
      </c>
      <c r="B73">
        <v>67</v>
      </c>
      <c r="C73">
        <v>25</v>
      </c>
      <c r="D73">
        <v>1</v>
      </c>
    </row>
    <row r="74" spans="1:4" x14ac:dyDescent="0.3">
      <c r="A74">
        <v>73</v>
      </c>
      <c r="B74">
        <v>68</v>
      </c>
      <c r="C74">
        <v>2</v>
      </c>
      <c r="D74">
        <v>2</v>
      </c>
    </row>
    <row r="75" spans="1:4" x14ac:dyDescent="0.3">
      <c r="A75">
        <v>74</v>
      </c>
      <c r="B75">
        <v>69</v>
      </c>
      <c r="C75">
        <v>9</v>
      </c>
      <c r="D75">
        <v>3</v>
      </c>
    </row>
    <row r="76" spans="1:4" x14ac:dyDescent="0.3">
      <c r="A76">
        <v>75</v>
      </c>
      <c r="B76">
        <v>70</v>
      </c>
      <c r="C76">
        <v>16</v>
      </c>
      <c r="D76">
        <v>1</v>
      </c>
    </row>
    <row r="77" spans="1:4" x14ac:dyDescent="0.3">
      <c r="A77">
        <v>76</v>
      </c>
      <c r="B77">
        <v>71</v>
      </c>
      <c r="C77">
        <v>23</v>
      </c>
      <c r="D77">
        <v>2</v>
      </c>
    </row>
    <row r="78" spans="1:4" x14ac:dyDescent="0.3">
      <c r="A78">
        <v>77</v>
      </c>
      <c r="B78">
        <v>72</v>
      </c>
      <c r="C78">
        <v>30</v>
      </c>
      <c r="D78">
        <v>3</v>
      </c>
    </row>
    <row r="79" spans="1:4" x14ac:dyDescent="0.3">
      <c r="A79">
        <v>78</v>
      </c>
      <c r="B79">
        <v>73</v>
      </c>
      <c r="C79">
        <v>7</v>
      </c>
      <c r="D79">
        <v>1</v>
      </c>
    </row>
    <row r="80" spans="1:4" x14ac:dyDescent="0.3">
      <c r="A80">
        <v>79</v>
      </c>
      <c r="B80">
        <v>74</v>
      </c>
      <c r="C80">
        <v>14</v>
      </c>
      <c r="D80">
        <v>2</v>
      </c>
    </row>
    <row r="81" spans="1:4" x14ac:dyDescent="0.3">
      <c r="A81">
        <v>80</v>
      </c>
      <c r="B81">
        <v>75</v>
      </c>
      <c r="C81">
        <v>21</v>
      </c>
      <c r="D81">
        <v>3</v>
      </c>
    </row>
    <row r="82" spans="1:4" x14ac:dyDescent="0.3">
      <c r="A82">
        <v>81</v>
      </c>
      <c r="B82">
        <v>76</v>
      </c>
      <c r="C82">
        <v>28</v>
      </c>
      <c r="D82">
        <v>1</v>
      </c>
    </row>
    <row r="83" spans="1:4" x14ac:dyDescent="0.3">
      <c r="A83">
        <v>82</v>
      </c>
      <c r="B83">
        <v>77</v>
      </c>
      <c r="C83">
        <v>5</v>
      </c>
      <c r="D83">
        <v>2</v>
      </c>
    </row>
    <row r="84" spans="1:4" x14ac:dyDescent="0.3">
      <c r="A84">
        <v>83</v>
      </c>
      <c r="B84">
        <v>78</v>
      </c>
      <c r="C84">
        <v>12</v>
      </c>
      <c r="D84">
        <v>3</v>
      </c>
    </row>
    <row r="85" spans="1:4" x14ac:dyDescent="0.3">
      <c r="A85">
        <v>84</v>
      </c>
      <c r="B85">
        <v>79</v>
      </c>
      <c r="C85">
        <v>19</v>
      </c>
      <c r="D85">
        <v>1</v>
      </c>
    </row>
    <row r="86" spans="1:4" x14ac:dyDescent="0.3">
      <c r="A86">
        <v>85</v>
      </c>
      <c r="B86">
        <v>80</v>
      </c>
      <c r="C86">
        <v>26</v>
      </c>
      <c r="D86">
        <v>2</v>
      </c>
    </row>
    <row r="87" spans="1:4" x14ac:dyDescent="0.3">
      <c r="A87">
        <v>86</v>
      </c>
      <c r="B87">
        <v>81</v>
      </c>
      <c r="C87">
        <v>3</v>
      </c>
      <c r="D87">
        <v>3</v>
      </c>
    </row>
    <row r="88" spans="1:4" x14ac:dyDescent="0.3">
      <c r="A88">
        <v>87</v>
      </c>
      <c r="B88">
        <v>82</v>
      </c>
      <c r="C88">
        <v>10</v>
      </c>
      <c r="D88">
        <v>1</v>
      </c>
    </row>
    <row r="89" spans="1:4" x14ac:dyDescent="0.3">
      <c r="A89">
        <v>88</v>
      </c>
      <c r="B89">
        <v>83</v>
      </c>
      <c r="C89">
        <v>17</v>
      </c>
      <c r="D89">
        <v>2</v>
      </c>
    </row>
    <row r="90" spans="1:4" x14ac:dyDescent="0.3">
      <c r="A90">
        <v>89</v>
      </c>
      <c r="B90">
        <v>84</v>
      </c>
      <c r="C90">
        <v>24</v>
      </c>
      <c r="D90">
        <v>3</v>
      </c>
    </row>
    <row r="91" spans="1:4" x14ac:dyDescent="0.3">
      <c r="A91">
        <v>90</v>
      </c>
      <c r="B91">
        <v>85</v>
      </c>
      <c r="C91">
        <v>1</v>
      </c>
      <c r="D91">
        <v>1</v>
      </c>
    </row>
    <row r="92" spans="1:4" x14ac:dyDescent="0.3">
      <c r="A92">
        <v>91</v>
      </c>
      <c r="B92">
        <v>86</v>
      </c>
      <c r="C92">
        <v>8</v>
      </c>
      <c r="D92">
        <v>2</v>
      </c>
    </row>
    <row r="93" spans="1:4" x14ac:dyDescent="0.3">
      <c r="A93">
        <v>92</v>
      </c>
      <c r="B93">
        <v>87</v>
      </c>
      <c r="C93">
        <v>15</v>
      </c>
      <c r="D93">
        <v>3</v>
      </c>
    </row>
    <row r="94" spans="1:4" x14ac:dyDescent="0.3">
      <c r="A94">
        <v>93</v>
      </c>
      <c r="B94">
        <v>88</v>
      </c>
      <c r="C94">
        <v>22</v>
      </c>
      <c r="D94">
        <v>1</v>
      </c>
    </row>
    <row r="95" spans="1:4" x14ac:dyDescent="0.3">
      <c r="A95">
        <v>94</v>
      </c>
      <c r="B95">
        <v>89</v>
      </c>
      <c r="C95">
        <v>29</v>
      </c>
      <c r="D95">
        <v>2</v>
      </c>
    </row>
    <row r="96" spans="1:4" x14ac:dyDescent="0.3">
      <c r="A96">
        <v>95</v>
      </c>
      <c r="B96">
        <v>90</v>
      </c>
      <c r="C96">
        <v>6</v>
      </c>
      <c r="D96">
        <v>3</v>
      </c>
    </row>
    <row r="97" spans="1:4" x14ac:dyDescent="0.3">
      <c r="A97">
        <v>96</v>
      </c>
      <c r="B97">
        <v>91</v>
      </c>
      <c r="C97">
        <v>13</v>
      </c>
      <c r="D97">
        <v>1</v>
      </c>
    </row>
    <row r="98" spans="1:4" x14ac:dyDescent="0.3">
      <c r="A98">
        <v>97</v>
      </c>
      <c r="B98">
        <v>92</v>
      </c>
      <c r="C98">
        <v>20</v>
      </c>
      <c r="D98">
        <v>2</v>
      </c>
    </row>
    <row r="99" spans="1:4" x14ac:dyDescent="0.3">
      <c r="A99">
        <v>98</v>
      </c>
      <c r="B99">
        <v>93</v>
      </c>
      <c r="C99">
        <v>27</v>
      </c>
      <c r="D99">
        <v>3</v>
      </c>
    </row>
    <row r="100" spans="1:4" x14ac:dyDescent="0.3">
      <c r="A100">
        <v>99</v>
      </c>
      <c r="B100">
        <v>94</v>
      </c>
      <c r="C100">
        <v>4</v>
      </c>
      <c r="D100">
        <v>1</v>
      </c>
    </row>
    <row r="101" spans="1:4" x14ac:dyDescent="0.3">
      <c r="A101">
        <v>100</v>
      </c>
      <c r="B101">
        <v>95</v>
      </c>
      <c r="C101">
        <v>11</v>
      </c>
      <c r="D101">
        <v>2</v>
      </c>
    </row>
    <row r="102" spans="1:4" x14ac:dyDescent="0.3">
      <c r="A102">
        <v>101</v>
      </c>
      <c r="B102">
        <v>96</v>
      </c>
      <c r="C102">
        <v>18</v>
      </c>
      <c r="D102">
        <v>3</v>
      </c>
    </row>
    <row r="103" spans="1:4" x14ac:dyDescent="0.3">
      <c r="A103">
        <v>102</v>
      </c>
      <c r="B103">
        <v>97</v>
      </c>
      <c r="C103">
        <v>25</v>
      </c>
      <c r="D103">
        <v>1</v>
      </c>
    </row>
    <row r="104" spans="1:4" x14ac:dyDescent="0.3">
      <c r="A104">
        <v>103</v>
      </c>
      <c r="B104">
        <v>98</v>
      </c>
      <c r="C104">
        <v>2</v>
      </c>
      <c r="D104">
        <v>2</v>
      </c>
    </row>
    <row r="105" spans="1:4" x14ac:dyDescent="0.3">
      <c r="A105">
        <v>104</v>
      </c>
      <c r="B105">
        <v>99</v>
      </c>
      <c r="C105">
        <v>9</v>
      </c>
      <c r="D105">
        <v>3</v>
      </c>
    </row>
    <row r="106" spans="1:4" x14ac:dyDescent="0.3">
      <c r="A106">
        <v>105</v>
      </c>
      <c r="B106">
        <v>100</v>
      </c>
      <c r="C106">
        <v>16</v>
      </c>
      <c r="D106">
        <v>1</v>
      </c>
    </row>
    <row r="107" spans="1:4" x14ac:dyDescent="0.3">
      <c r="A107">
        <v>106</v>
      </c>
      <c r="B107">
        <v>101</v>
      </c>
      <c r="C107">
        <v>23</v>
      </c>
      <c r="D107">
        <v>2</v>
      </c>
    </row>
    <row r="108" spans="1:4" x14ac:dyDescent="0.3">
      <c r="A108">
        <v>107</v>
      </c>
      <c r="B108">
        <v>102</v>
      </c>
      <c r="C108">
        <v>30</v>
      </c>
      <c r="D108">
        <v>3</v>
      </c>
    </row>
    <row r="109" spans="1:4" x14ac:dyDescent="0.3">
      <c r="A109">
        <v>108</v>
      </c>
      <c r="B109">
        <v>103</v>
      </c>
      <c r="C109">
        <v>7</v>
      </c>
      <c r="D109">
        <v>1</v>
      </c>
    </row>
    <row r="110" spans="1:4" x14ac:dyDescent="0.3">
      <c r="A110">
        <v>109</v>
      </c>
      <c r="B110">
        <v>104</v>
      </c>
      <c r="C110">
        <v>14</v>
      </c>
      <c r="D110">
        <v>2</v>
      </c>
    </row>
    <row r="111" spans="1:4" x14ac:dyDescent="0.3">
      <c r="A111">
        <v>110</v>
      </c>
      <c r="B111">
        <v>105</v>
      </c>
      <c r="C111">
        <v>21</v>
      </c>
      <c r="D111">
        <v>3</v>
      </c>
    </row>
    <row r="112" spans="1:4" x14ac:dyDescent="0.3">
      <c r="A112">
        <v>111</v>
      </c>
      <c r="B112">
        <v>106</v>
      </c>
      <c r="C112">
        <v>28</v>
      </c>
      <c r="D112">
        <v>1</v>
      </c>
    </row>
    <row r="113" spans="1:4" x14ac:dyDescent="0.3">
      <c r="A113">
        <v>112</v>
      </c>
      <c r="B113">
        <v>107</v>
      </c>
      <c r="C113">
        <v>5</v>
      </c>
      <c r="D113">
        <v>2</v>
      </c>
    </row>
    <row r="114" spans="1:4" x14ac:dyDescent="0.3">
      <c r="A114">
        <v>113</v>
      </c>
      <c r="B114">
        <v>108</v>
      </c>
      <c r="C114">
        <v>12</v>
      </c>
      <c r="D114">
        <v>3</v>
      </c>
    </row>
    <row r="115" spans="1:4" x14ac:dyDescent="0.3">
      <c r="A115">
        <v>114</v>
      </c>
      <c r="B115">
        <v>109</v>
      </c>
      <c r="C115">
        <v>19</v>
      </c>
      <c r="D115">
        <v>1</v>
      </c>
    </row>
    <row r="116" spans="1:4" x14ac:dyDescent="0.3">
      <c r="A116">
        <v>115</v>
      </c>
      <c r="B116">
        <v>110</v>
      </c>
      <c r="C116">
        <v>26</v>
      </c>
      <c r="D116">
        <v>2</v>
      </c>
    </row>
    <row r="117" spans="1:4" x14ac:dyDescent="0.3">
      <c r="A117">
        <v>116</v>
      </c>
      <c r="B117">
        <v>111</v>
      </c>
      <c r="C117">
        <v>3</v>
      </c>
      <c r="D117">
        <v>3</v>
      </c>
    </row>
    <row r="118" spans="1:4" x14ac:dyDescent="0.3">
      <c r="A118">
        <v>117</v>
      </c>
      <c r="B118">
        <v>112</v>
      </c>
      <c r="C118">
        <v>10</v>
      </c>
      <c r="D118">
        <v>1</v>
      </c>
    </row>
    <row r="119" spans="1:4" x14ac:dyDescent="0.3">
      <c r="A119">
        <v>118</v>
      </c>
      <c r="B119">
        <v>113</v>
      </c>
      <c r="C119">
        <v>17</v>
      </c>
      <c r="D119">
        <v>2</v>
      </c>
    </row>
    <row r="120" spans="1:4" x14ac:dyDescent="0.3">
      <c r="A120">
        <v>119</v>
      </c>
      <c r="B120">
        <v>114</v>
      </c>
      <c r="C120">
        <v>24</v>
      </c>
      <c r="D120">
        <v>3</v>
      </c>
    </row>
    <row r="121" spans="1:4" x14ac:dyDescent="0.3">
      <c r="A121">
        <v>120</v>
      </c>
      <c r="B121">
        <v>115</v>
      </c>
      <c r="C121">
        <v>1</v>
      </c>
      <c r="D121">
        <v>1</v>
      </c>
    </row>
    <row r="122" spans="1:4" x14ac:dyDescent="0.3">
      <c r="A122">
        <v>121</v>
      </c>
      <c r="B122">
        <v>116</v>
      </c>
      <c r="C122">
        <v>8</v>
      </c>
      <c r="D122">
        <v>2</v>
      </c>
    </row>
    <row r="123" spans="1:4" x14ac:dyDescent="0.3">
      <c r="A123">
        <v>122</v>
      </c>
      <c r="B123">
        <v>117</v>
      </c>
      <c r="C123">
        <v>15</v>
      </c>
      <c r="D123">
        <v>3</v>
      </c>
    </row>
    <row r="124" spans="1:4" x14ac:dyDescent="0.3">
      <c r="A124">
        <v>123</v>
      </c>
      <c r="B124">
        <v>118</v>
      </c>
      <c r="C124">
        <v>22</v>
      </c>
      <c r="D124">
        <v>1</v>
      </c>
    </row>
    <row r="125" spans="1:4" x14ac:dyDescent="0.3">
      <c r="A125">
        <v>124</v>
      </c>
      <c r="B125">
        <v>119</v>
      </c>
      <c r="C125">
        <v>29</v>
      </c>
      <c r="D125">
        <v>2</v>
      </c>
    </row>
    <row r="126" spans="1:4" x14ac:dyDescent="0.3">
      <c r="A126">
        <v>125</v>
      </c>
      <c r="B126">
        <v>120</v>
      </c>
      <c r="C126">
        <v>6</v>
      </c>
      <c r="D126">
        <v>3</v>
      </c>
    </row>
    <row r="127" spans="1:4" x14ac:dyDescent="0.3">
      <c r="A127">
        <v>126</v>
      </c>
      <c r="B127">
        <v>121</v>
      </c>
      <c r="C127">
        <v>13</v>
      </c>
      <c r="D127">
        <v>1</v>
      </c>
    </row>
    <row r="128" spans="1:4" x14ac:dyDescent="0.3">
      <c r="A128">
        <v>127</v>
      </c>
      <c r="B128">
        <v>122</v>
      </c>
      <c r="C128">
        <v>20</v>
      </c>
      <c r="D128">
        <v>2</v>
      </c>
    </row>
    <row r="129" spans="1:4" x14ac:dyDescent="0.3">
      <c r="A129">
        <v>128</v>
      </c>
      <c r="B129">
        <v>123</v>
      </c>
      <c r="C129">
        <v>27</v>
      </c>
      <c r="D129">
        <v>3</v>
      </c>
    </row>
    <row r="130" spans="1:4" x14ac:dyDescent="0.3">
      <c r="A130">
        <v>129</v>
      </c>
      <c r="B130">
        <v>124</v>
      </c>
      <c r="C130">
        <v>4</v>
      </c>
      <c r="D130">
        <v>1</v>
      </c>
    </row>
    <row r="131" spans="1:4" x14ac:dyDescent="0.3">
      <c r="A131">
        <v>130</v>
      </c>
      <c r="B131">
        <v>125</v>
      </c>
      <c r="C131">
        <v>11</v>
      </c>
      <c r="D131">
        <v>2</v>
      </c>
    </row>
    <row r="132" spans="1:4" x14ac:dyDescent="0.3">
      <c r="A132">
        <v>131</v>
      </c>
      <c r="B132">
        <v>126</v>
      </c>
      <c r="C132">
        <v>18</v>
      </c>
      <c r="D132">
        <v>3</v>
      </c>
    </row>
    <row r="133" spans="1:4" x14ac:dyDescent="0.3">
      <c r="A133">
        <v>132</v>
      </c>
      <c r="B133">
        <v>127</v>
      </c>
      <c r="C133">
        <v>25</v>
      </c>
      <c r="D133">
        <v>1</v>
      </c>
    </row>
    <row r="134" spans="1:4" x14ac:dyDescent="0.3">
      <c r="A134">
        <v>133</v>
      </c>
      <c r="B134">
        <v>128</v>
      </c>
      <c r="C134">
        <v>2</v>
      </c>
      <c r="D134">
        <v>2</v>
      </c>
    </row>
    <row r="135" spans="1:4" x14ac:dyDescent="0.3">
      <c r="A135">
        <v>134</v>
      </c>
      <c r="B135">
        <v>129</v>
      </c>
      <c r="C135">
        <v>9</v>
      </c>
      <c r="D135">
        <v>3</v>
      </c>
    </row>
    <row r="136" spans="1:4" x14ac:dyDescent="0.3">
      <c r="A136">
        <v>135</v>
      </c>
      <c r="B136">
        <v>130</v>
      </c>
      <c r="C136">
        <v>16</v>
      </c>
      <c r="D136">
        <v>1</v>
      </c>
    </row>
    <row r="137" spans="1:4" x14ac:dyDescent="0.3">
      <c r="A137">
        <v>136</v>
      </c>
      <c r="B137">
        <v>131</v>
      </c>
      <c r="C137">
        <v>23</v>
      </c>
      <c r="D137">
        <v>2</v>
      </c>
    </row>
    <row r="138" spans="1:4" x14ac:dyDescent="0.3">
      <c r="A138">
        <v>137</v>
      </c>
      <c r="B138">
        <v>132</v>
      </c>
      <c r="C138">
        <v>30</v>
      </c>
      <c r="D138">
        <v>3</v>
      </c>
    </row>
    <row r="139" spans="1:4" x14ac:dyDescent="0.3">
      <c r="A139">
        <v>138</v>
      </c>
      <c r="B139">
        <v>133</v>
      </c>
      <c r="C139">
        <v>7</v>
      </c>
      <c r="D139">
        <v>1</v>
      </c>
    </row>
    <row r="140" spans="1:4" x14ac:dyDescent="0.3">
      <c r="A140">
        <v>139</v>
      </c>
      <c r="B140">
        <v>134</v>
      </c>
      <c r="C140">
        <v>14</v>
      </c>
      <c r="D140">
        <v>2</v>
      </c>
    </row>
    <row r="141" spans="1:4" x14ac:dyDescent="0.3">
      <c r="A141">
        <v>140</v>
      </c>
      <c r="B141">
        <v>135</v>
      </c>
      <c r="C141">
        <v>21</v>
      </c>
      <c r="D141">
        <v>3</v>
      </c>
    </row>
    <row r="142" spans="1:4" x14ac:dyDescent="0.3">
      <c r="A142">
        <v>141</v>
      </c>
      <c r="B142">
        <v>136</v>
      </c>
      <c r="C142">
        <v>28</v>
      </c>
      <c r="D142">
        <v>1</v>
      </c>
    </row>
    <row r="143" spans="1:4" x14ac:dyDescent="0.3">
      <c r="A143">
        <v>142</v>
      </c>
      <c r="B143">
        <v>137</v>
      </c>
      <c r="C143">
        <v>5</v>
      </c>
      <c r="D143">
        <v>2</v>
      </c>
    </row>
    <row r="144" spans="1:4" x14ac:dyDescent="0.3">
      <c r="A144">
        <v>143</v>
      </c>
      <c r="B144">
        <v>138</v>
      </c>
      <c r="C144">
        <v>12</v>
      </c>
      <c r="D144">
        <v>3</v>
      </c>
    </row>
    <row r="145" spans="1:4" x14ac:dyDescent="0.3">
      <c r="A145">
        <v>144</v>
      </c>
      <c r="B145">
        <v>139</v>
      </c>
      <c r="C145">
        <v>19</v>
      </c>
      <c r="D145">
        <v>1</v>
      </c>
    </row>
    <row r="146" spans="1:4" x14ac:dyDescent="0.3">
      <c r="A146">
        <v>145</v>
      </c>
      <c r="B146">
        <v>140</v>
      </c>
      <c r="C146">
        <v>26</v>
      </c>
      <c r="D146">
        <v>2</v>
      </c>
    </row>
    <row r="147" spans="1:4" x14ac:dyDescent="0.3">
      <c r="A147">
        <v>146</v>
      </c>
      <c r="B147">
        <v>141</v>
      </c>
      <c r="C147">
        <v>3</v>
      </c>
      <c r="D147">
        <v>3</v>
      </c>
    </row>
    <row r="148" spans="1:4" x14ac:dyDescent="0.3">
      <c r="A148">
        <v>147</v>
      </c>
      <c r="B148">
        <v>142</v>
      </c>
      <c r="C148">
        <v>10</v>
      </c>
      <c r="D148">
        <v>1</v>
      </c>
    </row>
    <row r="149" spans="1:4" x14ac:dyDescent="0.3">
      <c r="A149">
        <v>148</v>
      </c>
      <c r="B149">
        <v>143</v>
      </c>
      <c r="C149">
        <v>17</v>
      </c>
      <c r="D149">
        <v>2</v>
      </c>
    </row>
    <row r="150" spans="1:4" x14ac:dyDescent="0.3">
      <c r="A150">
        <v>149</v>
      </c>
      <c r="B150">
        <v>144</v>
      </c>
      <c r="C150">
        <v>24</v>
      </c>
      <c r="D150">
        <v>3</v>
      </c>
    </row>
    <row r="151" spans="1:4" x14ac:dyDescent="0.3">
      <c r="A151">
        <v>150</v>
      </c>
      <c r="B151">
        <v>145</v>
      </c>
      <c r="C151">
        <v>1</v>
      </c>
      <c r="D151">
        <v>1</v>
      </c>
    </row>
    <row r="152" spans="1:4" x14ac:dyDescent="0.3">
      <c r="A152">
        <v>151</v>
      </c>
      <c r="B152">
        <v>146</v>
      </c>
      <c r="C152">
        <v>8</v>
      </c>
      <c r="D152">
        <v>2</v>
      </c>
    </row>
    <row r="153" spans="1:4" x14ac:dyDescent="0.3">
      <c r="A153">
        <v>152</v>
      </c>
      <c r="B153">
        <v>147</v>
      </c>
      <c r="C153">
        <v>15</v>
      </c>
      <c r="D153">
        <v>3</v>
      </c>
    </row>
    <row r="154" spans="1:4" x14ac:dyDescent="0.3">
      <c r="A154">
        <v>153</v>
      </c>
      <c r="B154">
        <v>148</v>
      </c>
      <c r="C154">
        <v>22</v>
      </c>
      <c r="D154">
        <v>1</v>
      </c>
    </row>
    <row r="155" spans="1:4" x14ac:dyDescent="0.3">
      <c r="A155">
        <v>154</v>
      </c>
      <c r="B155">
        <v>149</v>
      </c>
      <c r="C155">
        <v>29</v>
      </c>
      <c r="D155">
        <v>2</v>
      </c>
    </row>
    <row r="156" spans="1:4" x14ac:dyDescent="0.3">
      <c r="A156">
        <v>155</v>
      </c>
      <c r="B156">
        <v>150</v>
      </c>
      <c r="C156">
        <v>6</v>
      </c>
      <c r="D156">
        <v>3</v>
      </c>
    </row>
    <row r="157" spans="1:4" x14ac:dyDescent="0.3">
      <c r="A157">
        <v>156</v>
      </c>
      <c r="B157">
        <v>16</v>
      </c>
      <c r="C157">
        <v>13</v>
      </c>
      <c r="D157">
        <v>1</v>
      </c>
    </row>
    <row r="158" spans="1:4" x14ac:dyDescent="0.3">
      <c r="A158">
        <v>157</v>
      </c>
      <c r="B158">
        <v>17</v>
      </c>
      <c r="C158">
        <v>20</v>
      </c>
      <c r="D158">
        <v>2</v>
      </c>
    </row>
    <row r="159" spans="1:4" x14ac:dyDescent="0.3">
      <c r="A159">
        <v>158</v>
      </c>
      <c r="B159">
        <v>18</v>
      </c>
      <c r="C159">
        <v>27</v>
      </c>
      <c r="D159">
        <v>3</v>
      </c>
    </row>
    <row r="160" spans="1:4" x14ac:dyDescent="0.3">
      <c r="A160">
        <v>159</v>
      </c>
      <c r="B160">
        <v>19</v>
      </c>
      <c r="C160">
        <v>4</v>
      </c>
      <c r="D160">
        <v>1</v>
      </c>
    </row>
    <row r="161" spans="1:4" x14ac:dyDescent="0.3">
      <c r="A161">
        <v>160</v>
      </c>
      <c r="B161">
        <v>20</v>
      </c>
      <c r="C161">
        <v>11</v>
      </c>
      <c r="D161">
        <v>2</v>
      </c>
    </row>
    <row r="162" spans="1:4" x14ac:dyDescent="0.3">
      <c r="A162">
        <v>161</v>
      </c>
      <c r="B162">
        <v>21</v>
      </c>
      <c r="C162">
        <v>18</v>
      </c>
      <c r="D162">
        <v>3</v>
      </c>
    </row>
    <row r="163" spans="1:4" x14ac:dyDescent="0.3">
      <c r="A163">
        <v>162</v>
      </c>
      <c r="B163">
        <v>22</v>
      </c>
      <c r="C163">
        <v>25</v>
      </c>
      <c r="D163">
        <v>1</v>
      </c>
    </row>
    <row r="164" spans="1:4" x14ac:dyDescent="0.3">
      <c r="A164">
        <v>163</v>
      </c>
      <c r="B164">
        <v>23</v>
      </c>
      <c r="C164">
        <v>2</v>
      </c>
      <c r="D164">
        <v>2</v>
      </c>
    </row>
    <row r="165" spans="1:4" x14ac:dyDescent="0.3">
      <c r="A165">
        <v>164</v>
      </c>
      <c r="B165">
        <v>24</v>
      </c>
      <c r="C165">
        <v>9</v>
      </c>
      <c r="D165">
        <v>3</v>
      </c>
    </row>
    <row r="166" spans="1:4" x14ac:dyDescent="0.3">
      <c r="A166">
        <v>165</v>
      </c>
      <c r="B166">
        <v>25</v>
      </c>
      <c r="C166">
        <v>16</v>
      </c>
      <c r="D166">
        <v>1</v>
      </c>
    </row>
    <row r="167" spans="1:4" x14ac:dyDescent="0.3">
      <c r="A167">
        <v>166</v>
      </c>
      <c r="B167">
        <v>26</v>
      </c>
      <c r="C167">
        <v>23</v>
      </c>
      <c r="D167">
        <v>2</v>
      </c>
    </row>
    <row r="168" spans="1:4" x14ac:dyDescent="0.3">
      <c r="A168">
        <v>167</v>
      </c>
      <c r="B168">
        <v>27</v>
      </c>
      <c r="C168">
        <v>30</v>
      </c>
      <c r="D168">
        <v>3</v>
      </c>
    </row>
    <row r="169" spans="1:4" x14ac:dyDescent="0.3">
      <c r="A169">
        <v>168</v>
      </c>
      <c r="B169">
        <v>28</v>
      </c>
      <c r="C169">
        <v>7</v>
      </c>
      <c r="D169">
        <v>1</v>
      </c>
    </row>
    <row r="170" spans="1:4" x14ac:dyDescent="0.3">
      <c r="A170">
        <v>169</v>
      </c>
      <c r="B170">
        <v>29</v>
      </c>
      <c r="C170">
        <v>14</v>
      </c>
      <c r="D170">
        <v>2</v>
      </c>
    </row>
    <row r="171" spans="1:4" x14ac:dyDescent="0.3">
      <c r="A171">
        <v>170</v>
      </c>
      <c r="B171">
        <v>30</v>
      </c>
      <c r="C171">
        <v>21</v>
      </c>
      <c r="D171">
        <v>3</v>
      </c>
    </row>
    <row r="172" spans="1:4" x14ac:dyDescent="0.3">
      <c r="A172">
        <v>171</v>
      </c>
      <c r="B172">
        <v>31</v>
      </c>
      <c r="C172">
        <v>28</v>
      </c>
      <c r="D172">
        <v>1</v>
      </c>
    </row>
    <row r="173" spans="1:4" x14ac:dyDescent="0.3">
      <c r="A173">
        <v>172</v>
      </c>
      <c r="B173">
        <v>32</v>
      </c>
      <c r="C173">
        <v>5</v>
      </c>
      <c r="D173">
        <v>2</v>
      </c>
    </row>
    <row r="174" spans="1:4" x14ac:dyDescent="0.3">
      <c r="A174">
        <v>173</v>
      </c>
      <c r="B174">
        <v>33</v>
      </c>
      <c r="C174">
        <v>12</v>
      </c>
      <c r="D174">
        <v>3</v>
      </c>
    </row>
    <row r="175" spans="1:4" x14ac:dyDescent="0.3">
      <c r="A175">
        <v>174</v>
      </c>
      <c r="B175">
        <v>34</v>
      </c>
      <c r="C175">
        <v>19</v>
      </c>
      <c r="D175">
        <v>1</v>
      </c>
    </row>
    <row r="176" spans="1:4" x14ac:dyDescent="0.3">
      <c r="A176">
        <v>175</v>
      </c>
      <c r="B176">
        <v>35</v>
      </c>
      <c r="C176">
        <v>26</v>
      </c>
      <c r="D176">
        <v>2</v>
      </c>
    </row>
    <row r="177" spans="1:4" x14ac:dyDescent="0.3">
      <c r="A177">
        <v>176</v>
      </c>
      <c r="B177">
        <v>36</v>
      </c>
      <c r="C177">
        <v>3</v>
      </c>
      <c r="D177">
        <v>3</v>
      </c>
    </row>
    <row r="178" spans="1:4" x14ac:dyDescent="0.3">
      <c r="A178">
        <v>177</v>
      </c>
      <c r="B178">
        <v>37</v>
      </c>
      <c r="C178">
        <v>10</v>
      </c>
      <c r="D178">
        <v>1</v>
      </c>
    </row>
    <row r="179" spans="1:4" x14ac:dyDescent="0.3">
      <c r="A179">
        <v>178</v>
      </c>
      <c r="B179">
        <v>38</v>
      </c>
      <c r="C179">
        <v>17</v>
      </c>
      <c r="D179">
        <v>2</v>
      </c>
    </row>
    <row r="180" spans="1:4" x14ac:dyDescent="0.3">
      <c r="A180">
        <v>179</v>
      </c>
      <c r="B180">
        <v>39</v>
      </c>
      <c r="C180">
        <v>24</v>
      </c>
      <c r="D180">
        <v>3</v>
      </c>
    </row>
    <row r="181" spans="1:4" x14ac:dyDescent="0.3">
      <c r="A181">
        <v>180</v>
      </c>
      <c r="B181">
        <v>40</v>
      </c>
      <c r="C181">
        <v>1</v>
      </c>
      <c r="D181">
        <v>1</v>
      </c>
    </row>
    <row r="182" spans="1:4" x14ac:dyDescent="0.3">
      <c r="A182">
        <v>181</v>
      </c>
      <c r="B182">
        <v>41</v>
      </c>
      <c r="C182">
        <v>8</v>
      </c>
      <c r="D182">
        <v>2</v>
      </c>
    </row>
    <row r="183" spans="1:4" x14ac:dyDescent="0.3">
      <c r="A183">
        <v>182</v>
      </c>
      <c r="B183">
        <v>42</v>
      </c>
      <c r="C183">
        <v>15</v>
      </c>
      <c r="D183">
        <v>3</v>
      </c>
    </row>
    <row r="184" spans="1:4" x14ac:dyDescent="0.3">
      <c r="A184">
        <v>183</v>
      </c>
      <c r="B184">
        <v>43</v>
      </c>
      <c r="C184">
        <v>22</v>
      </c>
      <c r="D184">
        <v>1</v>
      </c>
    </row>
    <row r="185" spans="1:4" x14ac:dyDescent="0.3">
      <c r="A185">
        <v>184</v>
      </c>
      <c r="B185">
        <v>44</v>
      </c>
      <c r="C185">
        <v>29</v>
      </c>
      <c r="D185">
        <v>2</v>
      </c>
    </row>
    <row r="186" spans="1:4" x14ac:dyDescent="0.3">
      <c r="A186">
        <v>185</v>
      </c>
      <c r="B186">
        <v>45</v>
      </c>
      <c r="C186">
        <v>6</v>
      </c>
      <c r="D186">
        <v>3</v>
      </c>
    </row>
    <row r="187" spans="1:4" x14ac:dyDescent="0.3">
      <c r="A187">
        <v>186</v>
      </c>
      <c r="B187">
        <v>46</v>
      </c>
      <c r="C187">
        <v>13</v>
      </c>
      <c r="D187">
        <v>1</v>
      </c>
    </row>
    <row r="188" spans="1:4" x14ac:dyDescent="0.3">
      <c r="A188">
        <v>187</v>
      </c>
      <c r="B188">
        <v>47</v>
      </c>
      <c r="C188">
        <v>20</v>
      </c>
      <c r="D188">
        <v>2</v>
      </c>
    </row>
    <row r="189" spans="1:4" x14ac:dyDescent="0.3">
      <c r="A189">
        <v>188</v>
      </c>
      <c r="B189">
        <v>48</v>
      </c>
      <c r="C189">
        <v>27</v>
      </c>
      <c r="D189">
        <v>3</v>
      </c>
    </row>
    <row r="190" spans="1:4" x14ac:dyDescent="0.3">
      <c r="A190">
        <v>189</v>
      </c>
      <c r="B190">
        <v>49</v>
      </c>
      <c r="C190">
        <v>4</v>
      </c>
      <c r="D190">
        <v>1</v>
      </c>
    </row>
    <row r="191" spans="1:4" x14ac:dyDescent="0.3">
      <c r="A191">
        <v>190</v>
      </c>
      <c r="B191">
        <v>50</v>
      </c>
      <c r="C191">
        <v>11</v>
      </c>
      <c r="D191">
        <v>2</v>
      </c>
    </row>
    <row r="192" spans="1:4" x14ac:dyDescent="0.3">
      <c r="A192">
        <v>191</v>
      </c>
      <c r="B192">
        <v>51</v>
      </c>
      <c r="C192">
        <v>18</v>
      </c>
      <c r="D192">
        <v>3</v>
      </c>
    </row>
    <row r="193" spans="1:4" x14ac:dyDescent="0.3">
      <c r="A193">
        <v>192</v>
      </c>
      <c r="B193">
        <v>52</v>
      </c>
      <c r="C193">
        <v>25</v>
      </c>
      <c r="D193">
        <v>1</v>
      </c>
    </row>
    <row r="194" spans="1:4" x14ac:dyDescent="0.3">
      <c r="A194">
        <v>193</v>
      </c>
      <c r="B194">
        <v>53</v>
      </c>
      <c r="C194">
        <v>2</v>
      </c>
      <c r="D194">
        <v>2</v>
      </c>
    </row>
    <row r="195" spans="1:4" x14ac:dyDescent="0.3">
      <c r="A195">
        <v>194</v>
      </c>
      <c r="B195">
        <v>54</v>
      </c>
      <c r="C195">
        <v>9</v>
      </c>
      <c r="D195">
        <v>3</v>
      </c>
    </row>
    <row r="196" spans="1:4" x14ac:dyDescent="0.3">
      <c r="A196">
        <v>195</v>
      </c>
      <c r="B196">
        <v>55</v>
      </c>
      <c r="C196">
        <v>16</v>
      </c>
      <c r="D196">
        <v>1</v>
      </c>
    </row>
    <row r="197" spans="1:4" x14ac:dyDescent="0.3">
      <c r="A197">
        <v>196</v>
      </c>
      <c r="B197">
        <v>56</v>
      </c>
      <c r="C197">
        <v>23</v>
      </c>
      <c r="D197">
        <v>2</v>
      </c>
    </row>
    <row r="198" spans="1:4" x14ac:dyDescent="0.3">
      <c r="A198">
        <v>197</v>
      </c>
      <c r="B198">
        <v>57</v>
      </c>
      <c r="C198">
        <v>30</v>
      </c>
      <c r="D198">
        <v>3</v>
      </c>
    </row>
    <row r="199" spans="1:4" x14ac:dyDescent="0.3">
      <c r="A199">
        <v>198</v>
      </c>
      <c r="B199">
        <v>58</v>
      </c>
      <c r="C199">
        <v>7</v>
      </c>
      <c r="D199">
        <v>1</v>
      </c>
    </row>
    <row r="200" spans="1:4" x14ac:dyDescent="0.3">
      <c r="A200">
        <v>199</v>
      </c>
      <c r="B200">
        <v>59</v>
      </c>
      <c r="C200">
        <v>14</v>
      </c>
      <c r="D200">
        <v>2</v>
      </c>
    </row>
    <row r="201" spans="1:4" x14ac:dyDescent="0.3">
      <c r="A201">
        <v>200</v>
      </c>
      <c r="B201">
        <v>60</v>
      </c>
      <c r="C201">
        <v>21</v>
      </c>
      <c r="D201">
        <v>3</v>
      </c>
    </row>
  </sheetData>
  <conditionalFormatting sqref="A1:A1048576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5F14-3ED5-459D-A1FB-27E9E0546482}">
  <dimension ref="A1:C31"/>
  <sheetViews>
    <sheetView workbookViewId="0">
      <selection activeCell="B2" sqref="B2"/>
    </sheetView>
  </sheetViews>
  <sheetFormatPr defaultRowHeight="14.4" x14ac:dyDescent="0.3"/>
  <cols>
    <col min="1" max="1" width="11.6640625" bestFit="1" customWidth="1"/>
    <col min="2" max="2" width="16.88671875" bestFit="1" customWidth="1"/>
    <col min="3" max="3" width="14.33203125" bestFit="1" customWidth="1"/>
  </cols>
  <sheetData>
    <row r="1" spans="1:3" x14ac:dyDescent="0.3">
      <c r="A1" t="s">
        <v>344</v>
      </c>
      <c r="B1" t="s">
        <v>345</v>
      </c>
      <c r="C1" t="s">
        <v>346</v>
      </c>
    </row>
    <row r="2" spans="1:3" x14ac:dyDescent="0.3">
      <c r="A2">
        <v>1</v>
      </c>
      <c r="B2" t="s">
        <v>347</v>
      </c>
      <c r="C2">
        <v>300</v>
      </c>
    </row>
    <row r="3" spans="1:3" x14ac:dyDescent="0.3">
      <c r="A3">
        <v>2</v>
      </c>
      <c r="B3" t="s">
        <v>348</v>
      </c>
      <c r="C3">
        <v>500</v>
      </c>
    </row>
    <row r="4" spans="1:3" x14ac:dyDescent="0.3">
      <c r="A4">
        <v>3</v>
      </c>
      <c r="B4" t="s">
        <v>349</v>
      </c>
      <c r="C4">
        <v>600</v>
      </c>
    </row>
    <row r="5" spans="1:3" x14ac:dyDescent="0.3">
      <c r="A5">
        <v>4</v>
      </c>
      <c r="B5" t="s">
        <v>350</v>
      </c>
      <c r="C5">
        <v>200</v>
      </c>
    </row>
    <row r="6" spans="1:3" x14ac:dyDescent="0.3">
      <c r="A6">
        <v>5</v>
      </c>
      <c r="B6" t="s">
        <v>351</v>
      </c>
      <c r="C6">
        <v>1500</v>
      </c>
    </row>
    <row r="7" spans="1:3" x14ac:dyDescent="0.3">
      <c r="A7">
        <v>6</v>
      </c>
      <c r="B7" t="s">
        <v>352</v>
      </c>
      <c r="C7">
        <v>1000</v>
      </c>
    </row>
    <row r="8" spans="1:3" x14ac:dyDescent="0.3">
      <c r="A8">
        <v>7</v>
      </c>
      <c r="B8" t="s">
        <v>353</v>
      </c>
      <c r="C8">
        <v>150</v>
      </c>
    </row>
    <row r="9" spans="1:3" x14ac:dyDescent="0.3">
      <c r="A9">
        <v>8</v>
      </c>
      <c r="B9" t="s">
        <v>354</v>
      </c>
      <c r="C9">
        <v>250</v>
      </c>
    </row>
    <row r="10" spans="1:3" x14ac:dyDescent="0.3">
      <c r="A10">
        <v>9</v>
      </c>
      <c r="B10" t="s">
        <v>355</v>
      </c>
      <c r="C10">
        <v>800</v>
      </c>
    </row>
    <row r="11" spans="1:3" x14ac:dyDescent="0.3">
      <c r="A11">
        <v>10</v>
      </c>
      <c r="B11" t="s">
        <v>356</v>
      </c>
      <c r="C11">
        <v>400</v>
      </c>
    </row>
    <row r="12" spans="1:3" x14ac:dyDescent="0.3">
      <c r="A12">
        <v>11</v>
      </c>
      <c r="B12" t="s">
        <v>357</v>
      </c>
      <c r="C12">
        <v>120</v>
      </c>
    </row>
    <row r="13" spans="1:3" x14ac:dyDescent="0.3">
      <c r="A13">
        <v>12</v>
      </c>
      <c r="B13" t="s">
        <v>358</v>
      </c>
      <c r="C13">
        <v>250</v>
      </c>
    </row>
    <row r="14" spans="1:3" x14ac:dyDescent="0.3">
      <c r="A14">
        <v>13</v>
      </c>
      <c r="B14" t="s">
        <v>359</v>
      </c>
      <c r="C14">
        <v>1800</v>
      </c>
    </row>
    <row r="15" spans="1:3" x14ac:dyDescent="0.3">
      <c r="A15">
        <v>14</v>
      </c>
      <c r="B15" t="s">
        <v>360</v>
      </c>
      <c r="C15">
        <v>100</v>
      </c>
    </row>
    <row r="16" spans="1:3" x14ac:dyDescent="0.3">
      <c r="A16">
        <v>15</v>
      </c>
      <c r="B16" t="s">
        <v>361</v>
      </c>
      <c r="C16">
        <v>700</v>
      </c>
    </row>
    <row r="17" spans="1:3" x14ac:dyDescent="0.3">
      <c r="A17">
        <v>16</v>
      </c>
      <c r="B17" t="s">
        <v>362</v>
      </c>
      <c r="C17">
        <v>300</v>
      </c>
    </row>
    <row r="18" spans="1:3" x14ac:dyDescent="0.3">
      <c r="A18">
        <v>17</v>
      </c>
      <c r="B18" t="s">
        <v>363</v>
      </c>
      <c r="C18">
        <v>2500</v>
      </c>
    </row>
    <row r="19" spans="1:3" x14ac:dyDescent="0.3">
      <c r="A19">
        <v>18</v>
      </c>
      <c r="B19" t="s">
        <v>364</v>
      </c>
      <c r="C19">
        <v>600</v>
      </c>
    </row>
    <row r="20" spans="1:3" x14ac:dyDescent="0.3">
      <c r="A20">
        <v>19</v>
      </c>
      <c r="B20" t="s">
        <v>365</v>
      </c>
      <c r="C20">
        <v>2200</v>
      </c>
    </row>
    <row r="21" spans="1:3" x14ac:dyDescent="0.3">
      <c r="A21">
        <v>20</v>
      </c>
      <c r="B21" t="s">
        <v>366</v>
      </c>
      <c r="C21">
        <v>500</v>
      </c>
    </row>
    <row r="22" spans="1:3" x14ac:dyDescent="0.3">
      <c r="A22">
        <v>21</v>
      </c>
      <c r="B22" t="s">
        <v>367</v>
      </c>
      <c r="C22">
        <v>1000</v>
      </c>
    </row>
    <row r="23" spans="1:3" x14ac:dyDescent="0.3">
      <c r="A23">
        <v>22</v>
      </c>
      <c r="B23" t="s">
        <v>368</v>
      </c>
      <c r="C23">
        <v>1800</v>
      </c>
    </row>
    <row r="24" spans="1:3" x14ac:dyDescent="0.3">
      <c r="A24">
        <v>23</v>
      </c>
      <c r="B24" t="s">
        <v>369</v>
      </c>
      <c r="C24">
        <v>200</v>
      </c>
    </row>
    <row r="25" spans="1:3" x14ac:dyDescent="0.3">
      <c r="A25">
        <v>24</v>
      </c>
      <c r="B25" t="s">
        <v>370</v>
      </c>
      <c r="C25">
        <v>2500</v>
      </c>
    </row>
    <row r="26" spans="1:3" x14ac:dyDescent="0.3">
      <c r="A26">
        <v>25</v>
      </c>
      <c r="B26" t="s">
        <v>371</v>
      </c>
      <c r="C26">
        <v>750</v>
      </c>
    </row>
    <row r="27" spans="1:3" x14ac:dyDescent="0.3">
      <c r="A27">
        <v>26</v>
      </c>
      <c r="B27" t="s">
        <v>372</v>
      </c>
      <c r="C27">
        <v>150</v>
      </c>
    </row>
    <row r="28" spans="1:3" x14ac:dyDescent="0.3">
      <c r="A28">
        <v>27</v>
      </c>
      <c r="B28" t="s">
        <v>373</v>
      </c>
      <c r="C28">
        <v>400</v>
      </c>
    </row>
    <row r="29" spans="1:3" x14ac:dyDescent="0.3">
      <c r="A29">
        <v>28</v>
      </c>
      <c r="B29" t="s">
        <v>374</v>
      </c>
      <c r="C29">
        <v>350</v>
      </c>
    </row>
    <row r="30" spans="1:3" x14ac:dyDescent="0.3">
      <c r="A30">
        <v>29</v>
      </c>
      <c r="B30" t="s">
        <v>375</v>
      </c>
      <c r="C30">
        <v>3000</v>
      </c>
    </row>
    <row r="31" spans="1:3" x14ac:dyDescent="0.3">
      <c r="A31">
        <v>30</v>
      </c>
      <c r="B31" t="s">
        <v>376</v>
      </c>
      <c r="C31">
        <v>800</v>
      </c>
    </row>
  </sheetData>
  <conditionalFormatting sqref="A1:A1048576">
    <cfRule type="duplicateValues" dxfId="8" priority="1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FA84-AD6C-4B29-AE94-FCE2AA7A34A3}">
  <dimension ref="A1:F151"/>
  <sheetViews>
    <sheetView topLeftCell="A7" workbookViewId="0">
      <selection activeCell="G16" sqref="G16"/>
    </sheetView>
  </sheetViews>
  <sheetFormatPr defaultRowHeight="14.4" x14ac:dyDescent="0.3"/>
  <cols>
    <col min="1" max="1" width="13" bestFit="1" customWidth="1"/>
    <col min="2" max="2" width="12.21875" bestFit="1" customWidth="1"/>
    <col min="3" max="3" width="15.109375" bestFit="1" customWidth="1"/>
    <col min="4" max="4" width="9.5546875" bestFit="1" customWidth="1"/>
    <col min="5" max="5" width="17.88671875" bestFit="1" customWidth="1"/>
    <col min="6" max="6" width="16.5546875" bestFit="1" customWidth="1"/>
  </cols>
  <sheetData>
    <row r="1" spans="1:6" x14ac:dyDescent="0.3">
      <c r="A1" t="s">
        <v>333</v>
      </c>
      <c r="B1" t="s">
        <v>326</v>
      </c>
      <c r="C1" t="s">
        <v>334</v>
      </c>
      <c r="D1" t="s">
        <v>335</v>
      </c>
      <c r="E1" t="s">
        <v>336</v>
      </c>
      <c r="F1" t="s">
        <v>337</v>
      </c>
    </row>
    <row r="2" spans="1:6" x14ac:dyDescent="0.3">
      <c r="A2">
        <v>1</v>
      </c>
      <c r="B2">
        <v>1</v>
      </c>
      <c r="C2" s="2">
        <v>46296</v>
      </c>
      <c r="D2">
        <v>3000</v>
      </c>
      <c r="E2" t="s">
        <v>338</v>
      </c>
      <c r="F2" t="s">
        <v>339</v>
      </c>
    </row>
    <row r="3" spans="1:6" x14ac:dyDescent="0.3">
      <c r="A3">
        <v>2</v>
      </c>
      <c r="B3">
        <v>2</v>
      </c>
      <c r="C3" s="2">
        <v>46297</v>
      </c>
      <c r="D3">
        <v>7500</v>
      </c>
      <c r="E3" t="s">
        <v>340</v>
      </c>
      <c r="F3" t="s">
        <v>339</v>
      </c>
    </row>
    <row r="4" spans="1:6" x14ac:dyDescent="0.3">
      <c r="A4">
        <v>3</v>
      </c>
      <c r="B4">
        <v>3</v>
      </c>
      <c r="C4" s="2">
        <v>46305</v>
      </c>
      <c r="D4">
        <v>3000</v>
      </c>
      <c r="E4" t="s">
        <v>341</v>
      </c>
      <c r="F4" t="s">
        <v>339</v>
      </c>
    </row>
    <row r="5" spans="1:6" x14ac:dyDescent="0.3">
      <c r="A5">
        <v>4</v>
      </c>
      <c r="B5">
        <v>4</v>
      </c>
      <c r="C5" s="2">
        <v>46309</v>
      </c>
      <c r="D5">
        <v>12000</v>
      </c>
      <c r="E5" t="s">
        <v>338</v>
      </c>
      <c r="F5" t="s">
        <v>339</v>
      </c>
    </row>
    <row r="6" spans="1:6" x14ac:dyDescent="0.3">
      <c r="A6">
        <v>5</v>
      </c>
      <c r="B6">
        <v>5</v>
      </c>
      <c r="C6" s="2">
        <v>46310</v>
      </c>
      <c r="D6">
        <v>7500</v>
      </c>
      <c r="E6" t="s">
        <v>340</v>
      </c>
      <c r="F6" t="s">
        <v>339</v>
      </c>
    </row>
    <row r="7" spans="1:6" x14ac:dyDescent="0.3">
      <c r="A7">
        <v>6</v>
      </c>
      <c r="B7">
        <v>6</v>
      </c>
      <c r="C7" s="2">
        <v>46311</v>
      </c>
      <c r="D7">
        <v>19500</v>
      </c>
      <c r="E7" t="s">
        <v>338</v>
      </c>
      <c r="F7" t="s">
        <v>339</v>
      </c>
    </row>
    <row r="8" spans="1:6" x14ac:dyDescent="0.3">
      <c r="A8">
        <v>7</v>
      </c>
      <c r="B8">
        <v>7</v>
      </c>
      <c r="C8" s="2">
        <v>46312</v>
      </c>
      <c r="D8">
        <v>0</v>
      </c>
      <c r="E8" t="s">
        <v>341</v>
      </c>
      <c r="F8" t="s">
        <v>342</v>
      </c>
    </row>
    <row r="9" spans="1:6" x14ac:dyDescent="0.3">
      <c r="A9">
        <v>8</v>
      </c>
      <c r="B9">
        <v>8</v>
      </c>
      <c r="C9" s="2">
        <v>46313</v>
      </c>
      <c r="D9">
        <v>8400</v>
      </c>
      <c r="E9" t="s">
        <v>340</v>
      </c>
      <c r="F9" t="s">
        <v>343</v>
      </c>
    </row>
    <row r="10" spans="1:6" x14ac:dyDescent="0.3">
      <c r="A10">
        <v>9</v>
      </c>
      <c r="B10">
        <v>9</v>
      </c>
      <c r="C10" s="2">
        <v>46314</v>
      </c>
      <c r="D10">
        <v>19500</v>
      </c>
      <c r="E10" t="s">
        <v>338</v>
      </c>
      <c r="F10" t="s">
        <v>339</v>
      </c>
    </row>
    <row r="11" spans="1:6" x14ac:dyDescent="0.3">
      <c r="A11">
        <v>10</v>
      </c>
      <c r="B11">
        <v>10</v>
      </c>
      <c r="C11" s="2">
        <v>46315</v>
      </c>
      <c r="D11">
        <v>12600</v>
      </c>
      <c r="E11" t="s">
        <v>341</v>
      </c>
      <c r="F11" t="s">
        <v>343</v>
      </c>
    </row>
    <row r="12" spans="1:6" x14ac:dyDescent="0.3">
      <c r="A12">
        <v>11</v>
      </c>
      <c r="B12">
        <v>11</v>
      </c>
      <c r="C12" s="2">
        <v>46327</v>
      </c>
      <c r="D12">
        <v>3200</v>
      </c>
      <c r="E12" t="s">
        <v>338</v>
      </c>
      <c r="F12" t="s">
        <v>339</v>
      </c>
    </row>
    <row r="13" spans="1:6" x14ac:dyDescent="0.3">
      <c r="A13">
        <v>12</v>
      </c>
      <c r="B13">
        <v>12</v>
      </c>
      <c r="C13" s="2">
        <v>46328</v>
      </c>
      <c r="D13">
        <v>8100</v>
      </c>
      <c r="E13" t="s">
        <v>340</v>
      </c>
      <c r="F13" t="s">
        <v>343</v>
      </c>
    </row>
    <row r="14" spans="1:6" x14ac:dyDescent="0.3">
      <c r="A14">
        <v>13</v>
      </c>
      <c r="B14">
        <v>13</v>
      </c>
      <c r="C14" s="2">
        <v>46330</v>
      </c>
      <c r="D14">
        <v>8600</v>
      </c>
      <c r="E14" t="s">
        <v>341</v>
      </c>
      <c r="F14" t="s">
        <v>339</v>
      </c>
    </row>
    <row r="15" spans="1:6" x14ac:dyDescent="0.3">
      <c r="A15">
        <v>14</v>
      </c>
      <c r="B15">
        <v>14</v>
      </c>
      <c r="C15" s="2">
        <v>46333</v>
      </c>
      <c r="D15">
        <v>20400</v>
      </c>
      <c r="E15" t="s">
        <v>338</v>
      </c>
      <c r="F15" t="s">
        <v>343</v>
      </c>
    </row>
    <row r="16" spans="1:6" x14ac:dyDescent="0.3">
      <c r="A16">
        <v>15</v>
      </c>
      <c r="B16">
        <v>15</v>
      </c>
      <c r="C16" s="2">
        <v>46337</v>
      </c>
      <c r="D16">
        <v>0</v>
      </c>
      <c r="E16" t="s">
        <v>341</v>
      </c>
      <c r="F16" t="s">
        <v>342</v>
      </c>
    </row>
    <row r="17" spans="1:6" x14ac:dyDescent="0.3">
      <c r="A17">
        <v>16</v>
      </c>
      <c r="B17">
        <v>16</v>
      </c>
      <c r="C17" s="2">
        <v>46327</v>
      </c>
      <c r="D17">
        <v>5192</v>
      </c>
      <c r="E17" t="s">
        <v>340</v>
      </c>
      <c r="F17" t="s">
        <v>343</v>
      </c>
    </row>
    <row r="18" spans="1:6" x14ac:dyDescent="0.3">
      <c r="A18">
        <v>17</v>
      </c>
      <c r="B18">
        <v>17</v>
      </c>
      <c r="C18" s="2">
        <v>46328</v>
      </c>
      <c r="D18">
        <v>5329</v>
      </c>
      <c r="E18" t="s">
        <v>341</v>
      </c>
      <c r="F18" t="s">
        <v>339</v>
      </c>
    </row>
    <row r="19" spans="1:6" x14ac:dyDescent="0.3">
      <c r="A19">
        <v>18</v>
      </c>
      <c r="B19">
        <v>18</v>
      </c>
      <c r="C19" s="2">
        <v>46329</v>
      </c>
      <c r="D19">
        <v>5466</v>
      </c>
      <c r="E19" t="s">
        <v>338</v>
      </c>
      <c r="F19" t="s">
        <v>339</v>
      </c>
    </row>
    <row r="20" spans="1:6" x14ac:dyDescent="0.3">
      <c r="A20">
        <v>19</v>
      </c>
      <c r="B20">
        <v>19</v>
      </c>
      <c r="C20" s="2">
        <v>46330</v>
      </c>
      <c r="D20">
        <v>5603</v>
      </c>
      <c r="E20" t="s">
        <v>340</v>
      </c>
      <c r="F20" t="s">
        <v>339</v>
      </c>
    </row>
    <row r="21" spans="1:6" x14ac:dyDescent="0.3">
      <c r="A21">
        <v>20</v>
      </c>
      <c r="B21">
        <v>20</v>
      </c>
      <c r="C21" s="2">
        <v>46331</v>
      </c>
      <c r="D21">
        <v>0</v>
      </c>
      <c r="E21" t="s">
        <v>341</v>
      </c>
      <c r="F21" t="s">
        <v>342</v>
      </c>
    </row>
    <row r="22" spans="1:6" x14ac:dyDescent="0.3">
      <c r="A22">
        <v>21</v>
      </c>
      <c r="B22">
        <v>21</v>
      </c>
      <c r="C22" s="2">
        <v>46332</v>
      </c>
      <c r="D22">
        <v>5877</v>
      </c>
      <c r="E22" t="s">
        <v>338</v>
      </c>
      <c r="F22" t="s">
        <v>339</v>
      </c>
    </row>
    <row r="23" spans="1:6" x14ac:dyDescent="0.3">
      <c r="A23">
        <v>22</v>
      </c>
      <c r="B23">
        <v>22</v>
      </c>
      <c r="C23" s="2">
        <v>46333</v>
      </c>
      <c r="D23">
        <v>6014</v>
      </c>
      <c r="E23" t="s">
        <v>340</v>
      </c>
      <c r="F23" t="s">
        <v>339</v>
      </c>
    </row>
    <row r="24" spans="1:6" x14ac:dyDescent="0.3">
      <c r="A24">
        <v>23</v>
      </c>
      <c r="B24">
        <v>23</v>
      </c>
      <c r="C24" s="2">
        <v>46334</v>
      </c>
      <c r="D24">
        <v>6151</v>
      </c>
      <c r="E24" t="s">
        <v>341</v>
      </c>
      <c r="F24" t="s">
        <v>339</v>
      </c>
    </row>
    <row r="25" spans="1:6" x14ac:dyDescent="0.3">
      <c r="A25">
        <v>24</v>
      </c>
      <c r="B25">
        <v>24</v>
      </c>
      <c r="C25" s="2">
        <v>46335</v>
      </c>
      <c r="D25">
        <v>6288</v>
      </c>
      <c r="E25" t="s">
        <v>338</v>
      </c>
      <c r="F25" t="s">
        <v>343</v>
      </c>
    </row>
    <row r="26" spans="1:6" x14ac:dyDescent="0.3">
      <c r="A26">
        <v>25</v>
      </c>
      <c r="B26">
        <v>25</v>
      </c>
      <c r="C26" s="2">
        <v>46336</v>
      </c>
      <c r="D26">
        <v>6425</v>
      </c>
      <c r="E26" t="s">
        <v>340</v>
      </c>
      <c r="F26" t="s">
        <v>339</v>
      </c>
    </row>
    <row r="27" spans="1:6" x14ac:dyDescent="0.3">
      <c r="A27">
        <v>26</v>
      </c>
      <c r="B27">
        <v>26</v>
      </c>
      <c r="C27" s="2">
        <v>46337</v>
      </c>
      <c r="D27">
        <v>6562</v>
      </c>
      <c r="E27" t="s">
        <v>341</v>
      </c>
      <c r="F27" t="s">
        <v>339</v>
      </c>
    </row>
    <row r="28" spans="1:6" x14ac:dyDescent="0.3">
      <c r="A28">
        <v>27</v>
      </c>
      <c r="B28">
        <v>27</v>
      </c>
      <c r="C28" s="2">
        <v>46338</v>
      </c>
      <c r="D28">
        <v>6699</v>
      </c>
      <c r="E28" t="s">
        <v>338</v>
      </c>
      <c r="F28" t="s">
        <v>339</v>
      </c>
    </row>
    <row r="29" spans="1:6" x14ac:dyDescent="0.3">
      <c r="A29">
        <v>28</v>
      </c>
      <c r="B29">
        <v>28</v>
      </c>
      <c r="C29" s="2">
        <v>46339</v>
      </c>
      <c r="D29">
        <v>6836</v>
      </c>
      <c r="E29" t="s">
        <v>340</v>
      </c>
      <c r="F29" t="s">
        <v>343</v>
      </c>
    </row>
    <row r="30" spans="1:6" x14ac:dyDescent="0.3">
      <c r="A30">
        <v>29</v>
      </c>
      <c r="B30">
        <v>29</v>
      </c>
      <c r="C30" s="2">
        <v>46340</v>
      </c>
      <c r="D30">
        <v>6973</v>
      </c>
      <c r="E30" t="s">
        <v>341</v>
      </c>
      <c r="F30" t="s">
        <v>339</v>
      </c>
    </row>
    <row r="31" spans="1:6" x14ac:dyDescent="0.3">
      <c r="A31">
        <v>30</v>
      </c>
      <c r="B31">
        <v>30</v>
      </c>
      <c r="C31" s="2">
        <v>46341</v>
      </c>
      <c r="D31">
        <v>0</v>
      </c>
      <c r="E31" t="s">
        <v>338</v>
      </c>
      <c r="F31" t="s">
        <v>342</v>
      </c>
    </row>
    <row r="32" spans="1:6" x14ac:dyDescent="0.3">
      <c r="A32">
        <v>31</v>
      </c>
      <c r="B32">
        <v>31</v>
      </c>
      <c r="C32" s="2">
        <v>46342</v>
      </c>
      <c r="D32">
        <v>7247</v>
      </c>
      <c r="E32" t="s">
        <v>340</v>
      </c>
      <c r="F32" t="s">
        <v>339</v>
      </c>
    </row>
    <row r="33" spans="1:6" x14ac:dyDescent="0.3">
      <c r="A33">
        <v>32</v>
      </c>
      <c r="B33">
        <v>32</v>
      </c>
      <c r="C33" s="2">
        <v>46343</v>
      </c>
      <c r="D33">
        <v>7384</v>
      </c>
      <c r="E33" t="s">
        <v>341</v>
      </c>
      <c r="F33" t="s">
        <v>343</v>
      </c>
    </row>
    <row r="34" spans="1:6" x14ac:dyDescent="0.3">
      <c r="A34">
        <v>33</v>
      </c>
      <c r="B34">
        <v>33</v>
      </c>
      <c r="C34" s="2">
        <v>46344</v>
      </c>
      <c r="D34">
        <v>7521</v>
      </c>
      <c r="E34" t="s">
        <v>338</v>
      </c>
      <c r="F34" t="s">
        <v>339</v>
      </c>
    </row>
    <row r="35" spans="1:6" x14ac:dyDescent="0.3">
      <c r="A35">
        <v>34</v>
      </c>
      <c r="B35">
        <v>34</v>
      </c>
      <c r="C35" s="2">
        <v>46345</v>
      </c>
      <c r="D35">
        <v>7658</v>
      </c>
      <c r="E35" t="s">
        <v>340</v>
      </c>
      <c r="F35" t="s">
        <v>339</v>
      </c>
    </row>
    <row r="36" spans="1:6" x14ac:dyDescent="0.3">
      <c r="A36">
        <v>35</v>
      </c>
      <c r="B36">
        <v>35</v>
      </c>
      <c r="C36" s="2">
        <v>46346</v>
      </c>
      <c r="D36">
        <v>7795</v>
      </c>
      <c r="E36" t="s">
        <v>341</v>
      </c>
      <c r="F36" t="s">
        <v>339</v>
      </c>
    </row>
    <row r="37" spans="1:6" x14ac:dyDescent="0.3">
      <c r="A37">
        <v>36</v>
      </c>
      <c r="B37">
        <v>36</v>
      </c>
      <c r="C37" s="2">
        <v>46347</v>
      </c>
      <c r="D37">
        <v>7932</v>
      </c>
      <c r="E37" t="s">
        <v>338</v>
      </c>
      <c r="F37" t="s">
        <v>343</v>
      </c>
    </row>
    <row r="38" spans="1:6" x14ac:dyDescent="0.3">
      <c r="A38">
        <v>37</v>
      </c>
      <c r="B38">
        <v>37</v>
      </c>
      <c r="C38" s="2">
        <v>46348</v>
      </c>
      <c r="D38">
        <v>8069</v>
      </c>
      <c r="E38" t="s">
        <v>340</v>
      </c>
      <c r="F38" t="s">
        <v>339</v>
      </c>
    </row>
    <row r="39" spans="1:6" x14ac:dyDescent="0.3">
      <c r="A39">
        <v>38</v>
      </c>
      <c r="B39">
        <v>38</v>
      </c>
      <c r="C39" s="2">
        <v>46349</v>
      </c>
      <c r="D39">
        <v>8206</v>
      </c>
      <c r="E39" t="s">
        <v>341</v>
      </c>
      <c r="F39" t="s">
        <v>339</v>
      </c>
    </row>
    <row r="40" spans="1:6" x14ac:dyDescent="0.3">
      <c r="A40">
        <v>39</v>
      </c>
      <c r="B40">
        <v>39</v>
      </c>
      <c r="C40" s="2">
        <v>46350</v>
      </c>
      <c r="D40">
        <v>8343</v>
      </c>
      <c r="E40" t="s">
        <v>338</v>
      </c>
      <c r="F40" t="s">
        <v>339</v>
      </c>
    </row>
    <row r="41" spans="1:6" x14ac:dyDescent="0.3">
      <c r="A41">
        <v>40</v>
      </c>
      <c r="B41">
        <v>40</v>
      </c>
      <c r="C41" s="2">
        <v>46351</v>
      </c>
      <c r="D41">
        <v>0</v>
      </c>
      <c r="E41" t="s">
        <v>340</v>
      </c>
      <c r="F41" t="s">
        <v>342</v>
      </c>
    </row>
    <row r="42" spans="1:6" x14ac:dyDescent="0.3">
      <c r="A42">
        <v>41</v>
      </c>
      <c r="B42">
        <v>41</v>
      </c>
      <c r="C42" s="2">
        <v>46352</v>
      </c>
      <c r="D42">
        <v>8617</v>
      </c>
      <c r="E42" t="s">
        <v>341</v>
      </c>
      <c r="F42" t="s">
        <v>339</v>
      </c>
    </row>
    <row r="43" spans="1:6" x14ac:dyDescent="0.3">
      <c r="A43">
        <v>42</v>
      </c>
      <c r="B43">
        <v>42</v>
      </c>
      <c r="C43" s="2">
        <v>46353</v>
      </c>
      <c r="D43">
        <v>8754</v>
      </c>
      <c r="E43" t="s">
        <v>338</v>
      </c>
      <c r="F43" t="s">
        <v>339</v>
      </c>
    </row>
    <row r="44" spans="1:6" x14ac:dyDescent="0.3">
      <c r="A44">
        <v>43</v>
      </c>
      <c r="B44">
        <v>43</v>
      </c>
      <c r="C44" s="2">
        <v>46354</v>
      </c>
      <c r="D44">
        <v>8891</v>
      </c>
      <c r="E44" t="s">
        <v>340</v>
      </c>
      <c r="F44" t="s">
        <v>339</v>
      </c>
    </row>
    <row r="45" spans="1:6" x14ac:dyDescent="0.3">
      <c r="A45">
        <v>44</v>
      </c>
      <c r="B45">
        <v>44</v>
      </c>
      <c r="C45" s="2">
        <v>46355</v>
      </c>
      <c r="D45">
        <v>9028</v>
      </c>
      <c r="E45" t="s">
        <v>341</v>
      </c>
      <c r="F45" t="s">
        <v>343</v>
      </c>
    </row>
    <row r="46" spans="1:6" x14ac:dyDescent="0.3">
      <c r="A46">
        <v>45</v>
      </c>
      <c r="B46">
        <v>45</v>
      </c>
      <c r="C46" s="2">
        <v>46356</v>
      </c>
      <c r="D46">
        <v>9165</v>
      </c>
      <c r="E46" t="s">
        <v>338</v>
      </c>
      <c r="F46" t="s">
        <v>339</v>
      </c>
    </row>
    <row r="47" spans="1:6" x14ac:dyDescent="0.3">
      <c r="A47">
        <v>46</v>
      </c>
      <c r="B47">
        <v>46</v>
      </c>
      <c r="C47" s="2">
        <v>46357</v>
      </c>
      <c r="D47">
        <v>9302</v>
      </c>
      <c r="E47" t="s">
        <v>340</v>
      </c>
      <c r="F47" t="s">
        <v>339</v>
      </c>
    </row>
    <row r="48" spans="1:6" x14ac:dyDescent="0.3">
      <c r="A48">
        <v>47</v>
      </c>
      <c r="B48">
        <v>47</v>
      </c>
      <c r="C48" s="2">
        <v>46358</v>
      </c>
      <c r="D48">
        <v>9439</v>
      </c>
      <c r="E48" t="s">
        <v>341</v>
      </c>
      <c r="F48" t="s">
        <v>339</v>
      </c>
    </row>
    <row r="49" spans="1:6" x14ac:dyDescent="0.3">
      <c r="A49">
        <v>48</v>
      </c>
      <c r="B49">
        <v>48</v>
      </c>
      <c r="C49" s="2">
        <v>46359</v>
      </c>
      <c r="D49">
        <v>9576</v>
      </c>
      <c r="E49" t="s">
        <v>338</v>
      </c>
      <c r="F49" t="s">
        <v>343</v>
      </c>
    </row>
    <row r="50" spans="1:6" x14ac:dyDescent="0.3">
      <c r="A50">
        <v>49</v>
      </c>
      <c r="B50">
        <v>49</v>
      </c>
      <c r="C50" s="2">
        <v>46360</v>
      </c>
      <c r="D50">
        <v>9713</v>
      </c>
      <c r="E50" t="s">
        <v>340</v>
      </c>
      <c r="F50" t="s">
        <v>339</v>
      </c>
    </row>
    <row r="51" spans="1:6" x14ac:dyDescent="0.3">
      <c r="A51">
        <v>50</v>
      </c>
      <c r="B51">
        <v>50</v>
      </c>
      <c r="C51" s="2">
        <v>46361</v>
      </c>
      <c r="D51">
        <v>0</v>
      </c>
      <c r="E51" t="s">
        <v>341</v>
      </c>
      <c r="F51" t="s">
        <v>342</v>
      </c>
    </row>
    <row r="52" spans="1:6" x14ac:dyDescent="0.3">
      <c r="A52">
        <v>51</v>
      </c>
      <c r="B52">
        <v>51</v>
      </c>
      <c r="C52" s="2">
        <v>46362</v>
      </c>
      <c r="D52">
        <v>9987</v>
      </c>
      <c r="E52" t="s">
        <v>338</v>
      </c>
      <c r="F52" t="s">
        <v>339</v>
      </c>
    </row>
    <row r="53" spans="1:6" x14ac:dyDescent="0.3">
      <c r="A53">
        <v>52</v>
      </c>
      <c r="B53">
        <v>52</v>
      </c>
      <c r="C53" s="2">
        <v>46363</v>
      </c>
      <c r="D53">
        <v>10124</v>
      </c>
      <c r="E53" t="s">
        <v>340</v>
      </c>
      <c r="F53" t="s">
        <v>343</v>
      </c>
    </row>
    <row r="54" spans="1:6" x14ac:dyDescent="0.3">
      <c r="A54">
        <v>53</v>
      </c>
      <c r="B54">
        <v>53</v>
      </c>
      <c r="C54" s="2">
        <v>46364</v>
      </c>
      <c r="D54">
        <v>10261</v>
      </c>
      <c r="E54" t="s">
        <v>341</v>
      </c>
      <c r="F54" t="s">
        <v>339</v>
      </c>
    </row>
    <row r="55" spans="1:6" x14ac:dyDescent="0.3">
      <c r="A55">
        <v>54</v>
      </c>
      <c r="B55">
        <v>54</v>
      </c>
      <c r="C55" s="2">
        <v>46365</v>
      </c>
      <c r="D55">
        <v>10398</v>
      </c>
      <c r="E55" t="s">
        <v>338</v>
      </c>
      <c r="F55" t="s">
        <v>339</v>
      </c>
    </row>
    <row r="56" spans="1:6" x14ac:dyDescent="0.3">
      <c r="A56">
        <v>55</v>
      </c>
      <c r="B56">
        <v>55</v>
      </c>
      <c r="C56" s="2">
        <v>46366</v>
      </c>
      <c r="D56">
        <v>10535</v>
      </c>
      <c r="E56" t="s">
        <v>340</v>
      </c>
      <c r="F56" t="s">
        <v>339</v>
      </c>
    </row>
    <row r="57" spans="1:6" x14ac:dyDescent="0.3">
      <c r="A57">
        <v>56</v>
      </c>
      <c r="B57">
        <v>56</v>
      </c>
      <c r="C57" s="2">
        <v>46367</v>
      </c>
      <c r="D57">
        <v>10672</v>
      </c>
      <c r="E57" t="s">
        <v>341</v>
      </c>
      <c r="F57" t="s">
        <v>343</v>
      </c>
    </row>
    <row r="58" spans="1:6" x14ac:dyDescent="0.3">
      <c r="A58">
        <v>57</v>
      </c>
      <c r="B58">
        <v>57</v>
      </c>
      <c r="C58" s="2">
        <v>46368</v>
      </c>
      <c r="D58">
        <v>10809</v>
      </c>
      <c r="E58" t="s">
        <v>338</v>
      </c>
      <c r="F58" t="s">
        <v>339</v>
      </c>
    </row>
    <row r="59" spans="1:6" x14ac:dyDescent="0.3">
      <c r="A59">
        <v>58</v>
      </c>
      <c r="B59">
        <v>58</v>
      </c>
      <c r="C59" s="2">
        <v>46369</v>
      </c>
      <c r="D59">
        <v>10946</v>
      </c>
      <c r="E59" t="s">
        <v>340</v>
      </c>
      <c r="F59" t="s">
        <v>339</v>
      </c>
    </row>
    <row r="60" spans="1:6" x14ac:dyDescent="0.3">
      <c r="A60">
        <v>59</v>
      </c>
      <c r="B60">
        <v>59</v>
      </c>
      <c r="C60" s="2">
        <v>46370</v>
      </c>
      <c r="D60">
        <v>11083</v>
      </c>
      <c r="E60" t="s">
        <v>341</v>
      </c>
      <c r="F60" t="s">
        <v>339</v>
      </c>
    </row>
    <row r="61" spans="1:6" x14ac:dyDescent="0.3">
      <c r="A61">
        <v>60</v>
      </c>
      <c r="B61">
        <v>60</v>
      </c>
      <c r="C61" s="2">
        <v>46371</v>
      </c>
      <c r="D61">
        <v>0</v>
      </c>
      <c r="E61" t="s">
        <v>338</v>
      </c>
      <c r="F61" t="s">
        <v>342</v>
      </c>
    </row>
    <row r="62" spans="1:6" x14ac:dyDescent="0.3">
      <c r="A62">
        <v>61</v>
      </c>
      <c r="B62">
        <v>61</v>
      </c>
      <c r="C62" s="2">
        <v>46372</v>
      </c>
      <c r="D62">
        <v>11357</v>
      </c>
      <c r="E62" t="s">
        <v>340</v>
      </c>
      <c r="F62" t="s">
        <v>339</v>
      </c>
    </row>
    <row r="63" spans="1:6" x14ac:dyDescent="0.3">
      <c r="A63">
        <v>62</v>
      </c>
      <c r="B63">
        <v>62</v>
      </c>
      <c r="C63" s="2">
        <v>46373</v>
      </c>
      <c r="D63">
        <v>11494</v>
      </c>
      <c r="E63" t="s">
        <v>341</v>
      </c>
      <c r="F63" t="s">
        <v>339</v>
      </c>
    </row>
    <row r="64" spans="1:6" x14ac:dyDescent="0.3">
      <c r="A64">
        <v>63</v>
      </c>
      <c r="B64">
        <v>63</v>
      </c>
      <c r="C64" s="2">
        <v>46374</v>
      </c>
      <c r="D64">
        <v>11631</v>
      </c>
      <c r="E64" t="s">
        <v>338</v>
      </c>
      <c r="F64" t="s">
        <v>339</v>
      </c>
    </row>
    <row r="65" spans="1:6" x14ac:dyDescent="0.3">
      <c r="A65">
        <v>64</v>
      </c>
      <c r="B65">
        <v>64</v>
      </c>
      <c r="C65" s="2">
        <v>46375</v>
      </c>
      <c r="D65">
        <v>11768</v>
      </c>
      <c r="E65" t="s">
        <v>340</v>
      </c>
      <c r="F65" t="s">
        <v>343</v>
      </c>
    </row>
    <row r="66" spans="1:6" x14ac:dyDescent="0.3">
      <c r="A66">
        <v>65</v>
      </c>
      <c r="B66">
        <v>65</v>
      </c>
      <c r="C66" s="2">
        <v>46376</v>
      </c>
      <c r="D66">
        <v>11905</v>
      </c>
      <c r="E66" t="s">
        <v>341</v>
      </c>
      <c r="F66" t="s">
        <v>339</v>
      </c>
    </row>
    <row r="67" spans="1:6" x14ac:dyDescent="0.3">
      <c r="A67">
        <v>66</v>
      </c>
      <c r="B67">
        <v>66</v>
      </c>
      <c r="C67" s="2">
        <v>46377</v>
      </c>
      <c r="D67">
        <v>12042</v>
      </c>
      <c r="E67" t="s">
        <v>338</v>
      </c>
      <c r="F67" t="s">
        <v>339</v>
      </c>
    </row>
    <row r="68" spans="1:6" x14ac:dyDescent="0.3">
      <c r="A68">
        <v>67</v>
      </c>
      <c r="B68">
        <v>67</v>
      </c>
      <c r="C68" s="2">
        <v>46378</v>
      </c>
      <c r="D68">
        <v>12179</v>
      </c>
      <c r="E68" t="s">
        <v>340</v>
      </c>
      <c r="F68" t="s">
        <v>339</v>
      </c>
    </row>
    <row r="69" spans="1:6" x14ac:dyDescent="0.3">
      <c r="A69">
        <v>68</v>
      </c>
      <c r="B69">
        <v>68</v>
      </c>
      <c r="C69" s="2">
        <v>46379</v>
      </c>
      <c r="D69">
        <v>12316</v>
      </c>
      <c r="E69" t="s">
        <v>341</v>
      </c>
      <c r="F69" t="s">
        <v>343</v>
      </c>
    </row>
    <row r="70" spans="1:6" x14ac:dyDescent="0.3">
      <c r="A70">
        <v>69</v>
      </c>
      <c r="B70">
        <v>69</v>
      </c>
      <c r="C70" s="2">
        <v>46380</v>
      </c>
      <c r="D70">
        <v>12453</v>
      </c>
      <c r="E70" t="s">
        <v>338</v>
      </c>
      <c r="F70" t="s">
        <v>339</v>
      </c>
    </row>
    <row r="71" spans="1:6" x14ac:dyDescent="0.3">
      <c r="A71">
        <v>70</v>
      </c>
      <c r="B71">
        <v>70</v>
      </c>
      <c r="C71" s="2">
        <v>46381</v>
      </c>
      <c r="D71">
        <v>0</v>
      </c>
      <c r="E71" t="s">
        <v>340</v>
      </c>
      <c r="F71" t="s">
        <v>342</v>
      </c>
    </row>
    <row r="72" spans="1:6" x14ac:dyDescent="0.3">
      <c r="A72">
        <v>71</v>
      </c>
      <c r="B72">
        <v>71</v>
      </c>
      <c r="C72" s="2">
        <v>46382</v>
      </c>
      <c r="D72">
        <v>12727</v>
      </c>
      <c r="E72" t="s">
        <v>341</v>
      </c>
      <c r="F72" t="s">
        <v>339</v>
      </c>
    </row>
    <row r="73" spans="1:6" x14ac:dyDescent="0.3">
      <c r="A73">
        <v>72</v>
      </c>
      <c r="B73">
        <v>72</v>
      </c>
      <c r="C73" s="2">
        <v>46383</v>
      </c>
      <c r="D73">
        <v>12864</v>
      </c>
      <c r="E73" t="s">
        <v>338</v>
      </c>
      <c r="F73" t="s">
        <v>343</v>
      </c>
    </row>
    <row r="74" spans="1:6" x14ac:dyDescent="0.3">
      <c r="A74">
        <v>73</v>
      </c>
      <c r="B74">
        <v>73</v>
      </c>
      <c r="C74" s="2">
        <v>46384</v>
      </c>
      <c r="D74">
        <v>13001</v>
      </c>
      <c r="E74" t="s">
        <v>340</v>
      </c>
      <c r="F74" t="s">
        <v>339</v>
      </c>
    </row>
    <row r="75" spans="1:6" x14ac:dyDescent="0.3">
      <c r="A75">
        <v>74</v>
      </c>
      <c r="B75">
        <v>74</v>
      </c>
      <c r="C75" s="2">
        <v>46385</v>
      </c>
      <c r="D75">
        <v>13138</v>
      </c>
      <c r="E75" t="s">
        <v>341</v>
      </c>
      <c r="F75" t="s">
        <v>339</v>
      </c>
    </row>
    <row r="76" spans="1:6" x14ac:dyDescent="0.3">
      <c r="A76">
        <v>75</v>
      </c>
      <c r="B76">
        <v>75</v>
      </c>
      <c r="C76" s="2">
        <v>46386</v>
      </c>
      <c r="D76">
        <v>13275</v>
      </c>
      <c r="E76" t="s">
        <v>338</v>
      </c>
      <c r="F76" t="s">
        <v>339</v>
      </c>
    </row>
    <row r="77" spans="1:6" x14ac:dyDescent="0.3">
      <c r="A77">
        <v>76</v>
      </c>
      <c r="B77">
        <v>76</v>
      </c>
      <c r="C77" s="2">
        <v>46387</v>
      </c>
      <c r="D77">
        <v>13412</v>
      </c>
      <c r="E77" t="s">
        <v>340</v>
      </c>
      <c r="F77" t="s">
        <v>343</v>
      </c>
    </row>
    <row r="78" spans="1:6" x14ac:dyDescent="0.3">
      <c r="A78">
        <v>77</v>
      </c>
      <c r="B78">
        <v>77</v>
      </c>
      <c r="C78" s="2">
        <v>46388</v>
      </c>
      <c r="D78">
        <v>13549</v>
      </c>
      <c r="E78" t="s">
        <v>341</v>
      </c>
      <c r="F78" t="s">
        <v>339</v>
      </c>
    </row>
    <row r="79" spans="1:6" x14ac:dyDescent="0.3">
      <c r="A79">
        <v>78</v>
      </c>
      <c r="B79">
        <v>78</v>
      </c>
      <c r="C79" s="2">
        <v>46389</v>
      </c>
      <c r="D79">
        <v>13686</v>
      </c>
      <c r="E79" t="s">
        <v>338</v>
      </c>
      <c r="F79" t="s">
        <v>339</v>
      </c>
    </row>
    <row r="80" spans="1:6" x14ac:dyDescent="0.3">
      <c r="A80">
        <v>79</v>
      </c>
      <c r="B80">
        <v>79</v>
      </c>
      <c r="C80" s="2">
        <v>46390</v>
      </c>
      <c r="D80">
        <v>13823</v>
      </c>
      <c r="E80" t="s">
        <v>340</v>
      </c>
      <c r="F80" t="s">
        <v>339</v>
      </c>
    </row>
    <row r="81" spans="1:6" x14ac:dyDescent="0.3">
      <c r="A81">
        <v>80</v>
      </c>
      <c r="B81">
        <v>80</v>
      </c>
      <c r="C81" s="2">
        <v>46391</v>
      </c>
      <c r="D81">
        <v>0</v>
      </c>
      <c r="E81" t="s">
        <v>341</v>
      </c>
      <c r="F81" t="s">
        <v>342</v>
      </c>
    </row>
    <row r="82" spans="1:6" x14ac:dyDescent="0.3">
      <c r="A82">
        <v>81</v>
      </c>
      <c r="B82">
        <v>81</v>
      </c>
      <c r="C82" s="2">
        <v>46392</v>
      </c>
      <c r="D82">
        <v>14097</v>
      </c>
      <c r="E82" t="s">
        <v>338</v>
      </c>
      <c r="F82" t="s">
        <v>339</v>
      </c>
    </row>
    <row r="83" spans="1:6" x14ac:dyDescent="0.3">
      <c r="A83">
        <v>82</v>
      </c>
      <c r="B83">
        <v>82</v>
      </c>
      <c r="C83" s="2">
        <v>46393</v>
      </c>
      <c r="D83">
        <v>14234</v>
      </c>
      <c r="E83" t="s">
        <v>340</v>
      </c>
      <c r="F83" t="s">
        <v>339</v>
      </c>
    </row>
    <row r="84" spans="1:6" x14ac:dyDescent="0.3">
      <c r="A84">
        <v>83</v>
      </c>
      <c r="B84">
        <v>83</v>
      </c>
      <c r="C84" s="2">
        <v>46394</v>
      </c>
      <c r="D84">
        <v>14371</v>
      </c>
      <c r="E84" t="s">
        <v>341</v>
      </c>
      <c r="F84" t="s">
        <v>339</v>
      </c>
    </row>
    <row r="85" spans="1:6" x14ac:dyDescent="0.3">
      <c r="A85">
        <v>84</v>
      </c>
      <c r="B85">
        <v>84</v>
      </c>
      <c r="C85" s="2">
        <v>46395</v>
      </c>
      <c r="D85">
        <v>14508</v>
      </c>
      <c r="E85" t="s">
        <v>338</v>
      </c>
      <c r="F85" t="s">
        <v>343</v>
      </c>
    </row>
    <row r="86" spans="1:6" x14ac:dyDescent="0.3">
      <c r="A86">
        <v>85</v>
      </c>
      <c r="B86">
        <v>85</v>
      </c>
      <c r="C86" s="2">
        <v>46396</v>
      </c>
      <c r="D86">
        <v>14645</v>
      </c>
      <c r="E86" t="s">
        <v>340</v>
      </c>
      <c r="F86" t="s">
        <v>339</v>
      </c>
    </row>
    <row r="87" spans="1:6" x14ac:dyDescent="0.3">
      <c r="A87">
        <v>86</v>
      </c>
      <c r="B87">
        <v>86</v>
      </c>
      <c r="C87" s="2">
        <v>46397</v>
      </c>
      <c r="D87">
        <v>14782</v>
      </c>
      <c r="E87" t="s">
        <v>341</v>
      </c>
      <c r="F87" t="s">
        <v>339</v>
      </c>
    </row>
    <row r="88" spans="1:6" x14ac:dyDescent="0.3">
      <c r="A88">
        <v>87</v>
      </c>
      <c r="B88">
        <v>87</v>
      </c>
      <c r="C88" s="2">
        <v>46398</v>
      </c>
      <c r="D88">
        <v>14919</v>
      </c>
      <c r="E88" t="s">
        <v>338</v>
      </c>
      <c r="F88" t="s">
        <v>339</v>
      </c>
    </row>
    <row r="89" spans="1:6" x14ac:dyDescent="0.3">
      <c r="A89">
        <v>88</v>
      </c>
      <c r="B89">
        <v>88</v>
      </c>
      <c r="C89" s="2">
        <v>46399</v>
      </c>
      <c r="D89">
        <v>15056</v>
      </c>
      <c r="E89" t="s">
        <v>340</v>
      </c>
      <c r="F89" t="s">
        <v>343</v>
      </c>
    </row>
    <row r="90" spans="1:6" x14ac:dyDescent="0.3">
      <c r="A90">
        <v>89</v>
      </c>
      <c r="B90">
        <v>89</v>
      </c>
      <c r="C90" s="2">
        <v>46400</v>
      </c>
      <c r="D90">
        <v>15193</v>
      </c>
      <c r="E90" t="s">
        <v>341</v>
      </c>
      <c r="F90" t="s">
        <v>339</v>
      </c>
    </row>
    <row r="91" spans="1:6" x14ac:dyDescent="0.3">
      <c r="A91">
        <v>90</v>
      </c>
      <c r="B91">
        <v>90</v>
      </c>
      <c r="C91" s="2">
        <v>46401</v>
      </c>
      <c r="D91">
        <v>0</v>
      </c>
      <c r="E91" t="s">
        <v>338</v>
      </c>
      <c r="F91" t="s">
        <v>342</v>
      </c>
    </row>
    <row r="92" spans="1:6" x14ac:dyDescent="0.3">
      <c r="A92">
        <v>91</v>
      </c>
      <c r="B92">
        <v>91</v>
      </c>
      <c r="C92" s="2">
        <v>46402</v>
      </c>
      <c r="D92">
        <v>15467</v>
      </c>
      <c r="E92" t="s">
        <v>340</v>
      </c>
      <c r="F92" t="s">
        <v>339</v>
      </c>
    </row>
    <row r="93" spans="1:6" x14ac:dyDescent="0.3">
      <c r="A93">
        <v>92</v>
      </c>
      <c r="B93">
        <v>92</v>
      </c>
      <c r="C93" s="2">
        <v>46403</v>
      </c>
      <c r="D93">
        <v>15604</v>
      </c>
      <c r="E93" t="s">
        <v>341</v>
      </c>
      <c r="F93" t="s">
        <v>343</v>
      </c>
    </row>
    <row r="94" spans="1:6" x14ac:dyDescent="0.3">
      <c r="A94">
        <v>93</v>
      </c>
      <c r="B94">
        <v>93</v>
      </c>
      <c r="C94" s="2">
        <v>46404</v>
      </c>
      <c r="D94">
        <v>15741</v>
      </c>
      <c r="E94" t="s">
        <v>338</v>
      </c>
      <c r="F94" t="s">
        <v>339</v>
      </c>
    </row>
    <row r="95" spans="1:6" x14ac:dyDescent="0.3">
      <c r="A95">
        <v>94</v>
      </c>
      <c r="B95">
        <v>94</v>
      </c>
      <c r="C95" s="2">
        <v>46405</v>
      </c>
      <c r="D95">
        <v>15878</v>
      </c>
      <c r="E95" t="s">
        <v>340</v>
      </c>
      <c r="F95" t="s">
        <v>339</v>
      </c>
    </row>
    <row r="96" spans="1:6" x14ac:dyDescent="0.3">
      <c r="A96">
        <v>95</v>
      </c>
      <c r="B96">
        <v>95</v>
      </c>
      <c r="C96" s="2">
        <v>46406</v>
      </c>
      <c r="D96">
        <v>16015</v>
      </c>
      <c r="E96" t="s">
        <v>341</v>
      </c>
      <c r="F96" t="s">
        <v>339</v>
      </c>
    </row>
    <row r="97" spans="1:6" x14ac:dyDescent="0.3">
      <c r="A97">
        <v>96</v>
      </c>
      <c r="B97">
        <v>96</v>
      </c>
      <c r="C97" s="2">
        <v>46407</v>
      </c>
      <c r="D97">
        <v>16152</v>
      </c>
      <c r="E97" t="s">
        <v>338</v>
      </c>
      <c r="F97" t="s">
        <v>343</v>
      </c>
    </row>
    <row r="98" spans="1:6" x14ac:dyDescent="0.3">
      <c r="A98">
        <v>97</v>
      </c>
      <c r="B98">
        <v>97</v>
      </c>
      <c r="C98" s="2">
        <v>46408</v>
      </c>
      <c r="D98">
        <v>16289</v>
      </c>
      <c r="E98" t="s">
        <v>340</v>
      </c>
      <c r="F98" t="s">
        <v>339</v>
      </c>
    </row>
    <row r="99" spans="1:6" x14ac:dyDescent="0.3">
      <c r="A99">
        <v>98</v>
      </c>
      <c r="B99">
        <v>98</v>
      </c>
      <c r="C99" s="2">
        <v>46409</v>
      </c>
      <c r="D99">
        <v>16426</v>
      </c>
      <c r="E99" t="s">
        <v>341</v>
      </c>
      <c r="F99" t="s">
        <v>339</v>
      </c>
    </row>
    <row r="100" spans="1:6" x14ac:dyDescent="0.3">
      <c r="A100">
        <v>99</v>
      </c>
      <c r="B100">
        <v>99</v>
      </c>
      <c r="C100" s="2">
        <v>46410</v>
      </c>
      <c r="D100">
        <v>16563</v>
      </c>
      <c r="E100" t="s">
        <v>338</v>
      </c>
      <c r="F100" t="s">
        <v>339</v>
      </c>
    </row>
    <row r="101" spans="1:6" x14ac:dyDescent="0.3">
      <c r="A101">
        <v>100</v>
      </c>
      <c r="B101">
        <v>100</v>
      </c>
      <c r="C101" s="2">
        <v>46411</v>
      </c>
      <c r="D101">
        <v>0</v>
      </c>
      <c r="E101" t="s">
        <v>340</v>
      </c>
      <c r="F101" t="s">
        <v>342</v>
      </c>
    </row>
    <row r="102" spans="1:6" x14ac:dyDescent="0.3">
      <c r="A102">
        <v>101</v>
      </c>
      <c r="B102">
        <v>101</v>
      </c>
      <c r="C102" s="2">
        <v>46412</v>
      </c>
      <c r="D102">
        <v>16837</v>
      </c>
      <c r="E102" t="s">
        <v>341</v>
      </c>
      <c r="F102" t="s">
        <v>339</v>
      </c>
    </row>
    <row r="103" spans="1:6" x14ac:dyDescent="0.3">
      <c r="A103">
        <v>102</v>
      </c>
      <c r="B103">
        <v>102</v>
      </c>
      <c r="C103" s="2">
        <v>46413</v>
      </c>
      <c r="D103">
        <v>16974</v>
      </c>
      <c r="E103" t="s">
        <v>338</v>
      </c>
      <c r="F103" t="s">
        <v>339</v>
      </c>
    </row>
    <row r="104" spans="1:6" x14ac:dyDescent="0.3">
      <c r="A104">
        <v>103</v>
      </c>
      <c r="B104">
        <v>103</v>
      </c>
      <c r="C104" s="2">
        <v>46414</v>
      </c>
      <c r="D104">
        <v>17111</v>
      </c>
      <c r="E104" t="s">
        <v>340</v>
      </c>
      <c r="F104" t="s">
        <v>339</v>
      </c>
    </row>
    <row r="105" spans="1:6" x14ac:dyDescent="0.3">
      <c r="A105">
        <v>104</v>
      </c>
      <c r="B105">
        <v>104</v>
      </c>
      <c r="C105" s="2">
        <v>46415</v>
      </c>
      <c r="D105">
        <v>17248</v>
      </c>
      <c r="E105" t="s">
        <v>341</v>
      </c>
      <c r="F105" t="s">
        <v>343</v>
      </c>
    </row>
    <row r="106" spans="1:6" x14ac:dyDescent="0.3">
      <c r="A106">
        <v>105</v>
      </c>
      <c r="B106">
        <v>105</v>
      </c>
      <c r="C106" s="2">
        <v>46416</v>
      </c>
      <c r="D106">
        <v>17385</v>
      </c>
      <c r="E106" t="s">
        <v>338</v>
      </c>
      <c r="F106" t="s">
        <v>339</v>
      </c>
    </row>
    <row r="107" spans="1:6" x14ac:dyDescent="0.3">
      <c r="A107">
        <v>106</v>
      </c>
      <c r="B107">
        <v>106</v>
      </c>
      <c r="C107" s="2">
        <v>46417</v>
      </c>
      <c r="D107">
        <v>17522</v>
      </c>
      <c r="E107" t="s">
        <v>340</v>
      </c>
      <c r="F107" t="s">
        <v>339</v>
      </c>
    </row>
    <row r="108" spans="1:6" x14ac:dyDescent="0.3">
      <c r="A108">
        <v>107</v>
      </c>
      <c r="B108">
        <v>107</v>
      </c>
      <c r="C108" s="2">
        <v>46418</v>
      </c>
      <c r="D108">
        <v>17659</v>
      </c>
      <c r="E108" t="s">
        <v>341</v>
      </c>
      <c r="F108" t="s">
        <v>339</v>
      </c>
    </row>
    <row r="109" spans="1:6" x14ac:dyDescent="0.3">
      <c r="A109">
        <v>108</v>
      </c>
      <c r="B109">
        <v>108</v>
      </c>
      <c r="C109" s="2">
        <v>46419</v>
      </c>
      <c r="D109">
        <v>17796</v>
      </c>
      <c r="E109" t="s">
        <v>338</v>
      </c>
      <c r="F109" t="s">
        <v>343</v>
      </c>
    </row>
    <row r="110" spans="1:6" x14ac:dyDescent="0.3">
      <c r="A110">
        <v>109</v>
      </c>
      <c r="B110">
        <v>109</v>
      </c>
      <c r="C110" s="2">
        <v>46420</v>
      </c>
      <c r="D110">
        <v>17933</v>
      </c>
      <c r="E110" t="s">
        <v>340</v>
      </c>
      <c r="F110" t="s">
        <v>339</v>
      </c>
    </row>
    <row r="111" spans="1:6" x14ac:dyDescent="0.3">
      <c r="A111">
        <v>110</v>
      </c>
      <c r="B111">
        <v>110</v>
      </c>
      <c r="C111" s="2">
        <v>46421</v>
      </c>
      <c r="D111">
        <v>0</v>
      </c>
      <c r="E111" t="s">
        <v>341</v>
      </c>
      <c r="F111" t="s">
        <v>342</v>
      </c>
    </row>
    <row r="112" spans="1:6" x14ac:dyDescent="0.3">
      <c r="A112">
        <v>111</v>
      </c>
      <c r="B112">
        <v>111</v>
      </c>
      <c r="C112" s="2">
        <v>46422</v>
      </c>
      <c r="D112">
        <v>18207</v>
      </c>
      <c r="E112" t="s">
        <v>338</v>
      </c>
      <c r="F112" t="s">
        <v>339</v>
      </c>
    </row>
    <row r="113" spans="1:6" x14ac:dyDescent="0.3">
      <c r="A113">
        <v>112</v>
      </c>
      <c r="B113">
        <v>112</v>
      </c>
      <c r="C113" s="2">
        <v>46423</v>
      </c>
      <c r="D113">
        <v>18344</v>
      </c>
      <c r="E113" t="s">
        <v>340</v>
      </c>
      <c r="F113" t="s">
        <v>343</v>
      </c>
    </row>
    <row r="114" spans="1:6" x14ac:dyDescent="0.3">
      <c r="A114">
        <v>113</v>
      </c>
      <c r="B114">
        <v>113</v>
      </c>
      <c r="C114" s="2">
        <v>46424</v>
      </c>
      <c r="D114">
        <v>18481</v>
      </c>
      <c r="E114" t="s">
        <v>341</v>
      </c>
      <c r="F114" t="s">
        <v>339</v>
      </c>
    </row>
    <row r="115" spans="1:6" x14ac:dyDescent="0.3">
      <c r="A115">
        <v>114</v>
      </c>
      <c r="B115">
        <v>114</v>
      </c>
      <c r="C115" s="2">
        <v>46425</v>
      </c>
      <c r="D115">
        <v>18618</v>
      </c>
      <c r="E115" t="s">
        <v>338</v>
      </c>
      <c r="F115" t="s">
        <v>339</v>
      </c>
    </row>
    <row r="116" spans="1:6" x14ac:dyDescent="0.3">
      <c r="A116">
        <v>115</v>
      </c>
      <c r="B116">
        <v>115</v>
      </c>
      <c r="C116" s="2">
        <v>46426</v>
      </c>
      <c r="D116">
        <v>18755</v>
      </c>
      <c r="E116" t="s">
        <v>340</v>
      </c>
      <c r="F116" t="s">
        <v>339</v>
      </c>
    </row>
    <row r="117" spans="1:6" x14ac:dyDescent="0.3">
      <c r="A117">
        <v>116</v>
      </c>
      <c r="B117">
        <v>116</v>
      </c>
      <c r="C117" s="2">
        <v>46427</v>
      </c>
      <c r="D117">
        <v>18892</v>
      </c>
      <c r="E117" t="s">
        <v>341</v>
      </c>
      <c r="F117" t="s">
        <v>343</v>
      </c>
    </row>
    <row r="118" spans="1:6" x14ac:dyDescent="0.3">
      <c r="A118">
        <v>117</v>
      </c>
      <c r="B118">
        <v>117</v>
      </c>
      <c r="C118" s="2">
        <v>46428</v>
      </c>
      <c r="D118">
        <v>19029</v>
      </c>
      <c r="E118" t="s">
        <v>338</v>
      </c>
      <c r="F118" t="s">
        <v>339</v>
      </c>
    </row>
    <row r="119" spans="1:6" x14ac:dyDescent="0.3">
      <c r="A119">
        <v>118</v>
      </c>
      <c r="B119">
        <v>118</v>
      </c>
      <c r="C119" s="2">
        <v>46429</v>
      </c>
      <c r="D119">
        <v>19166</v>
      </c>
      <c r="E119" t="s">
        <v>340</v>
      </c>
      <c r="F119" t="s">
        <v>339</v>
      </c>
    </row>
    <row r="120" spans="1:6" x14ac:dyDescent="0.3">
      <c r="A120">
        <v>119</v>
      </c>
      <c r="B120">
        <v>119</v>
      </c>
      <c r="C120" s="2">
        <v>46430</v>
      </c>
      <c r="D120">
        <v>19303</v>
      </c>
      <c r="E120" t="s">
        <v>341</v>
      </c>
      <c r="F120" t="s">
        <v>339</v>
      </c>
    </row>
    <row r="121" spans="1:6" x14ac:dyDescent="0.3">
      <c r="A121">
        <v>120</v>
      </c>
      <c r="B121">
        <v>120</v>
      </c>
      <c r="C121" s="2">
        <v>46431</v>
      </c>
      <c r="D121">
        <v>0</v>
      </c>
      <c r="E121" t="s">
        <v>338</v>
      </c>
      <c r="F121" t="s">
        <v>342</v>
      </c>
    </row>
    <row r="122" spans="1:6" x14ac:dyDescent="0.3">
      <c r="A122">
        <v>121</v>
      </c>
      <c r="B122">
        <v>121</v>
      </c>
      <c r="C122" s="2">
        <v>46432</v>
      </c>
      <c r="D122">
        <v>19577</v>
      </c>
      <c r="E122" t="s">
        <v>340</v>
      </c>
      <c r="F122" t="s">
        <v>339</v>
      </c>
    </row>
    <row r="123" spans="1:6" x14ac:dyDescent="0.3">
      <c r="A123">
        <v>122</v>
      </c>
      <c r="B123">
        <v>122</v>
      </c>
      <c r="C123" s="2">
        <v>46433</v>
      </c>
      <c r="D123">
        <v>19714</v>
      </c>
      <c r="E123" t="s">
        <v>341</v>
      </c>
      <c r="F123" t="s">
        <v>339</v>
      </c>
    </row>
    <row r="124" spans="1:6" x14ac:dyDescent="0.3">
      <c r="A124">
        <v>123</v>
      </c>
      <c r="B124">
        <v>123</v>
      </c>
      <c r="C124" s="2">
        <v>46434</v>
      </c>
      <c r="D124">
        <v>19851</v>
      </c>
      <c r="E124" t="s">
        <v>338</v>
      </c>
      <c r="F124" t="s">
        <v>339</v>
      </c>
    </row>
    <row r="125" spans="1:6" x14ac:dyDescent="0.3">
      <c r="A125">
        <v>124</v>
      </c>
      <c r="B125">
        <v>124</v>
      </c>
      <c r="C125" s="2">
        <v>46435</v>
      </c>
      <c r="D125">
        <v>19988</v>
      </c>
      <c r="E125" t="s">
        <v>340</v>
      </c>
      <c r="F125" t="s">
        <v>343</v>
      </c>
    </row>
    <row r="126" spans="1:6" x14ac:dyDescent="0.3">
      <c r="A126">
        <v>125</v>
      </c>
      <c r="B126">
        <v>125</v>
      </c>
      <c r="C126" s="2">
        <v>46436</v>
      </c>
      <c r="D126">
        <v>20125</v>
      </c>
      <c r="E126" t="s">
        <v>341</v>
      </c>
      <c r="F126" t="s">
        <v>339</v>
      </c>
    </row>
    <row r="127" spans="1:6" x14ac:dyDescent="0.3">
      <c r="A127">
        <v>126</v>
      </c>
      <c r="B127">
        <v>126</v>
      </c>
      <c r="C127" s="2">
        <v>46437</v>
      </c>
      <c r="D127">
        <v>20262</v>
      </c>
      <c r="E127" t="s">
        <v>338</v>
      </c>
      <c r="F127" t="s">
        <v>339</v>
      </c>
    </row>
    <row r="128" spans="1:6" x14ac:dyDescent="0.3">
      <c r="A128">
        <v>127</v>
      </c>
      <c r="B128">
        <v>127</v>
      </c>
      <c r="C128" s="2">
        <v>46438</v>
      </c>
      <c r="D128">
        <v>20399</v>
      </c>
      <c r="E128" t="s">
        <v>340</v>
      </c>
      <c r="F128" t="s">
        <v>339</v>
      </c>
    </row>
    <row r="129" spans="1:6" x14ac:dyDescent="0.3">
      <c r="A129">
        <v>128</v>
      </c>
      <c r="B129">
        <v>128</v>
      </c>
      <c r="C129" s="2">
        <v>46439</v>
      </c>
      <c r="D129">
        <v>20536</v>
      </c>
      <c r="E129" t="s">
        <v>341</v>
      </c>
      <c r="F129" t="s">
        <v>343</v>
      </c>
    </row>
    <row r="130" spans="1:6" x14ac:dyDescent="0.3">
      <c r="A130">
        <v>129</v>
      </c>
      <c r="B130">
        <v>129</v>
      </c>
      <c r="C130" s="2">
        <v>46440</v>
      </c>
      <c r="D130">
        <v>20673</v>
      </c>
      <c r="E130" t="s">
        <v>338</v>
      </c>
      <c r="F130" t="s">
        <v>339</v>
      </c>
    </row>
    <row r="131" spans="1:6" x14ac:dyDescent="0.3">
      <c r="A131">
        <v>130</v>
      </c>
      <c r="B131">
        <v>130</v>
      </c>
      <c r="C131" s="2">
        <v>46441</v>
      </c>
      <c r="D131">
        <v>0</v>
      </c>
      <c r="E131" t="s">
        <v>340</v>
      </c>
      <c r="F131" t="s">
        <v>342</v>
      </c>
    </row>
    <row r="132" spans="1:6" x14ac:dyDescent="0.3">
      <c r="A132">
        <v>131</v>
      </c>
      <c r="B132">
        <v>131</v>
      </c>
      <c r="C132" s="2">
        <v>46442</v>
      </c>
      <c r="D132">
        <v>20947</v>
      </c>
      <c r="E132" t="s">
        <v>341</v>
      </c>
      <c r="F132" t="s">
        <v>339</v>
      </c>
    </row>
    <row r="133" spans="1:6" x14ac:dyDescent="0.3">
      <c r="A133">
        <v>132</v>
      </c>
      <c r="B133">
        <v>132</v>
      </c>
      <c r="C133" s="2">
        <v>46443</v>
      </c>
      <c r="D133">
        <v>21084</v>
      </c>
      <c r="E133" t="s">
        <v>338</v>
      </c>
      <c r="F133" t="s">
        <v>343</v>
      </c>
    </row>
    <row r="134" spans="1:6" x14ac:dyDescent="0.3">
      <c r="A134">
        <v>133</v>
      </c>
      <c r="B134">
        <v>133</v>
      </c>
      <c r="C134" s="2">
        <v>46444</v>
      </c>
      <c r="D134">
        <v>21221</v>
      </c>
      <c r="E134" t="s">
        <v>340</v>
      </c>
      <c r="F134" t="s">
        <v>339</v>
      </c>
    </row>
    <row r="135" spans="1:6" x14ac:dyDescent="0.3">
      <c r="A135">
        <v>134</v>
      </c>
      <c r="B135">
        <v>134</v>
      </c>
      <c r="C135" s="2">
        <v>46445</v>
      </c>
      <c r="D135">
        <v>21358</v>
      </c>
      <c r="E135" t="s">
        <v>341</v>
      </c>
      <c r="F135" t="s">
        <v>339</v>
      </c>
    </row>
    <row r="136" spans="1:6" x14ac:dyDescent="0.3">
      <c r="A136">
        <v>135</v>
      </c>
      <c r="B136">
        <v>135</v>
      </c>
      <c r="C136" s="2">
        <v>46446</v>
      </c>
      <c r="D136">
        <v>21495</v>
      </c>
      <c r="E136" t="s">
        <v>338</v>
      </c>
      <c r="F136" t="s">
        <v>339</v>
      </c>
    </row>
    <row r="137" spans="1:6" x14ac:dyDescent="0.3">
      <c r="A137">
        <v>136</v>
      </c>
      <c r="B137">
        <v>136</v>
      </c>
      <c r="C137" s="2">
        <v>46447</v>
      </c>
      <c r="D137">
        <v>21632</v>
      </c>
      <c r="E137" t="s">
        <v>340</v>
      </c>
      <c r="F137" t="s">
        <v>343</v>
      </c>
    </row>
    <row r="138" spans="1:6" x14ac:dyDescent="0.3">
      <c r="A138">
        <v>137</v>
      </c>
      <c r="B138">
        <v>137</v>
      </c>
      <c r="C138" s="2">
        <v>46448</v>
      </c>
      <c r="D138">
        <v>21769</v>
      </c>
      <c r="E138" t="s">
        <v>341</v>
      </c>
      <c r="F138" t="s">
        <v>339</v>
      </c>
    </row>
    <row r="139" spans="1:6" x14ac:dyDescent="0.3">
      <c r="A139">
        <v>138</v>
      </c>
      <c r="B139">
        <v>138</v>
      </c>
      <c r="C139" s="2">
        <v>46449</v>
      </c>
      <c r="D139">
        <v>21906</v>
      </c>
      <c r="E139" t="s">
        <v>338</v>
      </c>
      <c r="F139" t="s">
        <v>339</v>
      </c>
    </row>
    <row r="140" spans="1:6" x14ac:dyDescent="0.3">
      <c r="A140">
        <v>139</v>
      </c>
      <c r="B140">
        <v>139</v>
      </c>
      <c r="C140" s="2">
        <v>46450</v>
      </c>
      <c r="D140">
        <v>22043</v>
      </c>
      <c r="E140" t="s">
        <v>340</v>
      </c>
      <c r="F140" t="s">
        <v>339</v>
      </c>
    </row>
    <row r="141" spans="1:6" x14ac:dyDescent="0.3">
      <c r="A141">
        <v>140</v>
      </c>
      <c r="B141">
        <v>140</v>
      </c>
      <c r="C141" s="2">
        <v>46451</v>
      </c>
      <c r="D141">
        <v>0</v>
      </c>
      <c r="E141" t="s">
        <v>341</v>
      </c>
      <c r="F141" t="s">
        <v>342</v>
      </c>
    </row>
    <row r="142" spans="1:6" x14ac:dyDescent="0.3">
      <c r="A142">
        <v>141</v>
      </c>
      <c r="B142">
        <v>141</v>
      </c>
      <c r="C142" s="2">
        <v>46452</v>
      </c>
      <c r="D142">
        <v>22317</v>
      </c>
      <c r="E142" t="s">
        <v>338</v>
      </c>
      <c r="F142" t="s">
        <v>339</v>
      </c>
    </row>
    <row r="143" spans="1:6" x14ac:dyDescent="0.3">
      <c r="A143">
        <v>142</v>
      </c>
      <c r="B143">
        <v>142</v>
      </c>
      <c r="C143" s="2">
        <v>46453</v>
      </c>
      <c r="D143">
        <v>22454</v>
      </c>
      <c r="E143" t="s">
        <v>340</v>
      </c>
      <c r="F143" t="s">
        <v>339</v>
      </c>
    </row>
    <row r="144" spans="1:6" x14ac:dyDescent="0.3">
      <c r="A144">
        <v>143</v>
      </c>
      <c r="B144">
        <v>143</v>
      </c>
      <c r="C144" s="2">
        <v>46454</v>
      </c>
      <c r="D144">
        <v>22591</v>
      </c>
      <c r="E144" t="s">
        <v>341</v>
      </c>
      <c r="F144" t="s">
        <v>339</v>
      </c>
    </row>
    <row r="145" spans="1:6" x14ac:dyDescent="0.3">
      <c r="A145">
        <v>144</v>
      </c>
      <c r="B145">
        <v>144</v>
      </c>
      <c r="C145" s="2">
        <v>46455</v>
      </c>
      <c r="D145">
        <v>22728</v>
      </c>
      <c r="E145" t="s">
        <v>338</v>
      </c>
      <c r="F145" t="s">
        <v>343</v>
      </c>
    </row>
    <row r="146" spans="1:6" x14ac:dyDescent="0.3">
      <c r="A146">
        <v>145</v>
      </c>
      <c r="B146">
        <v>145</v>
      </c>
      <c r="C146" s="2">
        <v>46456</v>
      </c>
      <c r="D146">
        <v>22865</v>
      </c>
      <c r="E146" t="s">
        <v>340</v>
      </c>
      <c r="F146" t="s">
        <v>339</v>
      </c>
    </row>
    <row r="147" spans="1:6" x14ac:dyDescent="0.3">
      <c r="A147">
        <v>146</v>
      </c>
      <c r="B147">
        <v>146</v>
      </c>
      <c r="C147" s="2">
        <v>46457</v>
      </c>
      <c r="D147">
        <v>3002</v>
      </c>
      <c r="E147" t="s">
        <v>341</v>
      </c>
      <c r="F147" t="s">
        <v>339</v>
      </c>
    </row>
    <row r="148" spans="1:6" x14ac:dyDescent="0.3">
      <c r="A148">
        <v>147</v>
      </c>
      <c r="B148">
        <v>147</v>
      </c>
      <c r="C148" s="2">
        <v>46458</v>
      </c>
      <c r="D148">
        <v>3139</v>
      </c>
      <c r="E148" t="s">
        <v>338</v>
      </c>
      <c r="F148" t="s">
        <v>339</v>
      </c>
    </row>
    <row r="149" spans="1:6" x14ac:dyDescent="0.3">
      <c r="A149">
        <v>148</v>
      </c>
      <c r="B149">
        <v>148</v>
      </c>
      <c r="C149" s="2">
        <v>46459</v>
      </c>
      <c r="D149">
        <v>3276</v>
      </c>
      <c r="E149" t="s">
        <v>340</v>
      </c>
      <c r="F149" t="s">
        <v>343</v>
      </c>
    </row>
    <row r="150" spans="1:6" x14ac:dyDescent="0.3">
      <c r="A150">
        <v>149</v>
      </c>
      <c r="B150">
        <v>149</v>
      </c>
      <c r="C150" s="2">
        <v>46460</v>
      </c>
      <c r="D150">
        <v>3413</v>
      </c>
      <c r="E150" t="s">
        <v>341</v>
      </c>
      <c r="F150" t="s">
        <v>339</v>
      </c>
    </row>
    <row r="151" spans="1:6" x14ac:dyDescent="0.3">
      <c r="A151">
        <v>150</v>
      </c>
      <c r="B151">
        <v>150</v>
      </c>
      <c r="C151" s="2">
        <v>46461</v>
      </c>
      <c r="D151">
        <v>0</v>
      </c>
      <c r="E151" t="s">
        <v>338</v>
      </c>
      <c r="F151" t="s">
        <v>342</v>
      </c>
    </row>
  </sheetData>
  <conditionalFormatting sqref="A1:A1048576">
    <cfRule type="duplicateValues" dxfId="7" priority="1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4F19-9194-4994-99ED-7C13877D533A}">
  <dimension ref="A1:F151"/>
  <sheetViews>
    <sheetView topLeftCell="A13" workbookViewId="0">
      <selection activeCell="I27" sqref="I27"/>
    </sheetView>
  </sheetViews>
  <sheetFormatPr defaultRowHeight="14.4" x14ac:dyDescent="0.3"/>
  <cols>
    <col min="1" max="1" width="12.21875" bestFit="1" customWidth="1"/>
    <col min="2" max="2" width="10.109375" bestFit="1" customWidth="1"/>
    <col min="3" max="3" width="10" bestFit="1" customWidth="1"/>
    <col min="4" max="4" width="15.109375" bestFit="1" customWidth="1"/>
    <col min="5" max="5" width="16.33203125" bestFit="1" customWidth="1"/>
    <col min="6" max="6" width="15.77734375" bestFit="1" customWidth="1"/>
  </cols>
  <sheetData>
    <row r="1" spans="1:6" x14ac:dyDescent="0.3">
      <c r="A1" t="s">
        <v>326</v>
      </c>
      <c r="B1" t="s">
        <v>0</v>
      </c>
      <c r="C1" t="s">
        <v>312</v>
      </c>
      <c r="D1" t="s">
        <v>327</v>
      </c>
      <c r="E1" t="s">
        <v>328</v>
      </c>
      <c r="F1" t="s">
        <v>329</v>
      </c>
    </row>
    <row r="2" spans="1:6" x14ac:dyDescent="0.3">
      <c r="A2">
        <v>1</v>
      </c>
      <c r="B2">
        <v>1</v>
      </c>
      <c r="C2">
        <v>1</v>
      </c>
      <c r="D2" s="2">
        <v>46296</v>
      </c>
      <c r="E2" s="2">
        <v>46298</v>
      </c>
      <c r="F2" t="s">
        <v>330</v>
      </c>
    </row>
    <row r="3" spans="1:6" x14ac:dyDescent="0.3">
      <c r="A3">
        <v>2</v>
      </c>
      <c r="B3">
        <v>2</v>
      </c>
      <c r="C3">
        <v>3</v>
      </c>
      <c r="D3" s="2">
        <v>46297</v>
      </c>
      <c r="E3" s="2">
        <v>46300</v>
      </c>
      <c r="F3" t="s">
        <v>330</v>
      </c>
    </row>
    <row r="4" spans="1:6" x14ac:dyDescent="0.3">
      <c r="A4">
        <v>3</v>
      </c>
      <c r="B4">
        <v>3</v>
      </c>
      <c r="C4">
        <v>2</v>
      </c>
      <c r="D4" s="2">
        <v>46305</v>
      </c>
      <c r="E4" s="2">
        <v>46308</v>
      </c>
      <c r="F4" t="s">
        <v>330</v>
      </c>
    </row>
    <row r="5" spans="1:6" x14ac:dyDescent="0.3">
      <c r="A5">
        <v>4</v>
      </c>
      <c r="B5">
        <v>4</v>
      </c>
      <c r="C5">
        <v>5</v>
      </c>
      <c r="D5" s="2">
        <v>46309</v>
      </c>
      <c r="E5" s="2">
        <v>46312</v>
      </c>
      <c r="F5" t="s">
        <v>331</v>
      </c>
    </row>
    <row r="6" spans="1:6" x14ac:dyDescent="0.3">
      <c r="A6">
        <v>5</v>
      </c>
      <c r="B6">
        <v>5</v>
      </c>
      <c r="C6">
        <v>4</v>
      </c>
      <c r="D6" s="2">
        <v>46310</v>
      </c>
      <c r="E6" s="2">
        <v>46313</v>
      </c>
      <c r="F6" t="s">
        <v>331</v>
      </c>
    </row>
    <row r="7" spans="1:6" x14ac:dyDescent="0.3">
      <c r="A7">
        <v>6</v>
      </c>
      <c r="B7">
        <v>6</v>
      </c>
      <c r="C7">
        <v>7</v>
      </c>
      <c r="D7" s="2">
        <v>46311</v>
      </c>
      <c r="E7" s="2">
        <v>46314</v>
      </c>
      <c r="F7" t="s">
        <v>331</v>
      </c>
    </row>
    <row r="8" spans="1:6" x14ac:dyDescent="0.3">
      <c r="A8">
        <v>7</v>
      </c>
      <c r="B8">
        <v>7</v>
      </c>
      <c r="C8">
        <v>6</v>
      </c>
      <c r="D8" s="2">
        <v>46312</v>
      </c>
      <c r="E8" s="2">
        <v>46315</v>
      </c>
      <c r="F8" t="s">
        <v>332</v>
      </c>
    </row>
    <row r="9" spans="1:6" x14ac:dyDescent="0.3">
      <c r="A9">
        <v>8</v>
      </c>
      <c r="B9">
        <v>8</v>
      </c>
      <c r="C9">
        <v>9</v>
      </c>
      <c r="D9" s="2">
        <v>46313</v>
      </c>
      <c r="E9" s="2">
        <v>46316</v>
      </c>
      <c r="F9" t="s">
        <v>331</v>
      </c>
    </row>
    <row r="10" spans="1:6" x14ac:dyDescent="0.3">
      <c r="A10">
        <v>9</v>
      </c>
      <c r="B10">
        <v>9</v>
      </c>
      <c r="C10">
        <v>8</v>
      </c>
      <c r="D10" s="2">
        <v>46314</v>
      </c>
      <c r="E10" s="2">
        <v>46317</v>
      </c>
      <c r="F10" t="s">
        <v>331</v>
      </c>
    </row>
    <row r="11" spans="1:6" x14ac:dyDescent="0.3">
      <c r="A11">
        <v>10</v>
      </c>
      <c r="B11">
        <v>10</v>
      </c>
      <c r="C11">
        <v>10</v>
      </c>
      <c r="D11" s="2">
        <v>46315</v>
      </c>
      <c r="E11" s="2">
        <v>46318</v>
      </c>
      <c r="F11" t="s">
        <v>331</v>
      </c>
    </row>
    <row r="12" spans="1:6" x14ac:dyDescent="0.3">
      <c r="A12">
        <v>11</v>
      </c>
      <c r="B12">
        <v>11</v>
      </c>
      <c r="C12">
        <v>11</v>
      </c>
      <c r="D12" s="2">
        <v>46327</v>
      </c>
      <c r="E12" s="2">
        <v>46329</v>
      </c>
      <c r="F12" t="s">
        <v>331</v>
      </c>
    </row>
    <row r="13" spans="1:6" x14ac:dyDescent="0.3">
      <c r="A13">
        <v>12</v>
      </c>
      <c r="B13">
        <v>12</v>
      </c>
      <c r="C13">
        <v>12</v>
      </c>
      <c r="D13" s="2">
        <v>46328</v>
      </c>
      <c r="E13" s="2">
        <v>46331</v>
      </c>
      <c r="F13" t="s">
        <v>331</v>
      </c>
    </row>
    <row r="14" spans="1:6" x14ac:dyDescent="0.3">
      <c r="A14">
        <v>13</v>
      </c>
      <c r="B14">
        <v>13</v>
      </c>
      <c r="C14">
        <v>13</v>
      </c>
      <c r="D14" s="2">
        <v>46330</v>
      </c>
      <c r="E14" s="2">
        <v>46332</v>
      </c>
      <c r="F14" t="s">
        <v>331</v>
      </c>
    </row>
    <row r="15" spans="1:6" x14ac:dyDescent="0.3">
      <c r="A15">
        <v>14</v>
      </c>
      <c r="B15">
        <v>14</v>
      </c>
      <c r="C15">
        <v>14</v>
      </c>
      <c r="D15" s="2">
        <v>46333</v>
      </c>
      <c r="E15" s="2">
        <v>46336</v>
      </c>
      <c r="F15" t="s">
        <v>331</v>
      </c>
    </row>
    <row r="16" spans="1:6" x14ac:dyDescent="0.3">
      <c r="A16">
        <v>15</v>
      </c>
      <c r="B16">
        <v>15</v>
      </c>
      <c r="C16">
        <v>15</v>
      </c>
      <c r="D16" s="2">
        <v>46337</v>
      </c>
      <c r="E16" s="2">
        <v>46339</v>
      </c>
      <c r="F16" t="s">
        <v>332</v>
      </c>
    </row>
    <row r="17" spans="1:6" x14ac:dyDescent="0.3">
      <c r="A17">
        <v>16</v>
      </c>
      <c r="B17">
        <v>16</v>
      </c>
      <c r="C17">
        <v>16</v>
      </c>
      <c r="D17" s="2">
        <v>46327</v>
      </c>
      <c r="E17" s="2">
        <v>46330</v>
      </c>
      <c r="F17" t="s">
        <v>331</v>
      </c>
    </row>
    <row r="18" spans="1:6" x14ac:dyDescent="0.3">
      <c r="A18">
        <v>17</v>
      </c>
      <c r="B18">
        <v>17</v>
      </c>
      <c r="C18">
        <v>17</v>
      </c>
      <c r="D18" s="2">
        <v>46328</v>
      </c>
      <c r="E18" s="2">
        <v>46332</v>
      </c>
      <c r="F18" t="s">
        <v>331</v>
      </c>
    </row>
    <row r="19" spans="1:6" x14ac:dyDescent="0.3">
      <c r="A19">
        <v>18</v>
      </c>
      <c r="B19">
        <v>18</v>
      </c>
      <c r="C19">
        <v>18</v>
      </c>
      <c r="D19" s="2">
        <v>46329</v>
      </c>
      <c r="E19" s="2">
        <v>46331</v>
      </c>
      <c r="F19" t="s">
        <v>331</v>
      </c>
    </row>
    <row r="20" spans="1:6" x14ac:dyDescent="0.3">
      <c r="A20">
        <v>19</v>
      </c>
      <c r="B20">
        <v>19</v>
      </c>
      <c r="C20">
        <v>19</v>
      </c>
      <c r="D20" s="2">
        <v>46330</v>
      </c>
      <c r="E20" s="2">
        <v>46333</v>
      </c>
      <c r="F20" t="s">
        <v>331</v>
      </c>
    </row>
    <row r="21" spans="1:6" x14ac:dyDescent="0.3">
      <c r="A21">
        <v>20</v>
      </c>
      <c r="B21">
        <v>20</v>
      </c>
      <c r="C21">
        <v>20</v>
      </c>
      <c r="D21" s="2">
        <v>46331</v>
      </c>
      <c r="E21" s="2">
        <v>46335</v>
      </c>
      <c r="F21" t="s">
        <v>332</v>
      </c>
    </row>
    <row r="22" spans="1:6" x14ac:dyDescent="0.3">
      <c r="A22">
        <v>21</v>
      </c>
      <c r="B22">
        <v>21</v>
      </c>
      <c r="C22">
        <v>21</v>
      </c>
      <c r="D22" s="2">
        <v>46332</v>
      </c>
      <c r="E22" s="2">
        <v>46334</v>
      </c>
      <c r="F22" t="s">
        <v>330</v>
      </c>
    </row>
    <row r="23" spans="1:6" x14ac:dyDescent="0.3">
      <c r="A23">
        <v>22</v>
      </c>
      <c r="B23">
        <v>22</v>
      </c>
      <c r="C23">
        <v>22</v>
      </c>
      <c r="D23" s="2">
        <v>46333</v>
      </c>
      <c r="E23" s="2">
        <v>46336</v>
      </c>
      <c r="F23" t="s">
        <v>331</v>
      </c>
    </row>
    <row r="24" spans="1:6" x14ac:dyDescent="0.3">
      <c r="A24">
        <v>23</v>
      </c>
      <c r="B24">
        <v>23</v>
      </c>
      <c r="C24">
        <v>23</v>
      </c>
      <c r="D24" s="2">
        <v>46334</v>
      </c>
      <c r="E24" s="2">
        <v>46338</v>
      </c>
      <c r="F24" t="s">
        <v>331</v>
      </c>
    </row>
    <row r="25" spans="1:6" x14ac:dyDescent="0.3">
      <c r="A25">
        <v>24</v>
      </c>
      <c r="B25">
        <v>24</v>
      </c>
      <c r="C25">
        <v>24</v>
      </c>
      <c r="D25" s="2">
        <v>46335</v>
      </c>
      <c r="E25" s="2">
        <v>46337</v>
      </c>
      <c r="F25" t="s">
        <v>331</v>
      </c>
    </row>
    <row r="26" spans="1:6" x14ac:dyDescent="0.3">
      <c r="A26">
        <v>25</v>
      </c>
      <c r="B26">
        <v>25</v>
      </c>
      <c r="C26">
        <v>25</v>
      </c>
      <c r="D26" s="2">
        <v>46336</v>
      </c>
      <c r="E26" s="2">
        <v>46339</v>
      </c>
      <c r="F26" t="s">
        <v>331</v>
      </c>
    </row>
    <row r="27" spans="1:6" x14ac:dyDescent="0.3">
      <c r="A27">
        <v>26</v>
      </c>
      <c r="B27">
        <v>26</v>
      </c>
      <c r="C27">
        <v>26</v>
      </c>
      <c r="D27" s="2">
        <v>46337</v>
      </c>
      <c r="E27" s="2">
        <v>46341</v>
      </c>
      <c r="F27" t="s">
        <v>331</v>
      </c>
    </row>
    <row r="28" spans="1:6" x14ac:dyDescent="0.3">
      <c r="A28">
        <v>27</v>
      </c>
      <c r="B28">
        <v>27</v>
      </c>
      <c r="C28">
        <v>27</v>
      </c>
      <c r="D28" s="2">
        <v>46338</v>
      </c>
      <c r="E28" s="2">
        <v>46340</v>
      </c>
      <c r="F28" t="s">
        <v>331</v>
      </c>
    </row>
    <row r="29" spans="1:6" x14ac:dyDescent="0.3">
      <c r="A29">
        <v>28</v>
      </c>
      <c r="B29">
        <v>28</v>
      </c>
      <c r="C29">
        <v>28</v>
      </c>
      <c r="D29" s="2">
        <v>46339</v>
      </c>
      <c r="E29" s="2">
        <v>46342</v>
      </c>
      <c r="F29" t="s">
        <v>331</v>
      </c>
    </row>
    <row r="30" spans="1:6" x14ac:dyDescent="0.3">
      <c r="A30">
        <v>29</v>
      </c>
      <c r="B30">
        <v>29</v>
      </c>
      <c r="C30">
        <v>29</v>
      </c>
      <c r="D30" s="2">
        <v>46340</v>
      </c>
      <c r="E30" s="2">
        <v>46344</v>
      </c>
      <c r="F30" t="s">
        <v>331</v>
      </c>
    </row>
    <row r="31" spans="1:6" x14ac:dyDescent="0.3">
      <c r="A31">
        <v>30</v>
      </c>
      <c r="B31">
        <v>30</v>
      </c>
      <c r="C31">
        <v>30</v>
      </c>
      <c r="D31" s="2">
        <v>46341</v>
      </c>
      <c r="E31" s="2">
        <v>46343</v>
      </c>
      <c r="F31" t="s">
        <v>332</v>
      </c>
    </row>
    <row r="32" spans="1:6" x14ac:dyDescent="0.3">
      <c r="A32">
        <v>31</v>
      </c>
      <c r="B32">
        <v>31</v>
      </c>
      <c r="C32">
        <v>31</v>
      </c>
      <c r="D32" s="2">
        <v>46342</v>
      </c>
      <c r="E32" s="2">
        <v>46345</v>
      </c>
      <c r="F32" t="s">
        <v>330</v>
      </c>
    </row>
    <row r="33" spans="1:6" x14ac:dyDescent="0.3">
      <c r="A33">
        <v>32</v>
      </c>
      <c r="B33">
        <v>32</v>
      </c>
      <c r="C33">
        <v>32</v>
      </c>
      <c r="D33" s="2">
        <v>46343</v>
      </c>
      <c r="E33" s="2">
        <v>46347</v>
      </c>
      <c r="F33" t="s">
        <v>331</v>
      </c>
    </row>
    <row r="34" spans="1:6" x14ac:dyDescent="0.3">
      <c r="A34">
        <v>33</v>
      </c>
      <c r="B34">
        <v>33</v>
      </c>
      <c r="C34">
        <v>33</v>
      </c>
      <c r="D34" s="2">
        <v>46344</v>
      </c>
      <c r="E34" s="2">
        <v>46346</v>
      </c>
      <c r="F34" t="s">
        <v>331</v>
      </c>
    </row>
    <row r="35" spans="1:6" x14ac:dyDescent="0.3">
      <c r="A35">
        <v>34</v>
      </c>
      <c r="B35">
        <v>34</v>
      </c>
      <c r="C35">
        <v>34</v>
      </c>
      <c r="D35" s="2">
        <v>46345</v>
      </c>
      <c r="E35" s="2">
        <v>46348</v>
      </c>
      <c r="F35" t="s">
        <v>331</v>
      </c>
    </row>
    <row r="36" spans="1:6" x14ac:dyDescent="0.3">
      <c r="A36">
        <v>35</v>
      </c>
      <c r="B36">
        <v>35</v>
      </c>
      <c r="C36">
        <v>35</v>
      </c>
      <c r="D36" s="2">
        <v>46346</v>
      </c>
      <c r="E36" s="2">
        <v>46350</v>
      </c>
      <c r="F36" t="s">
        <v>331</v>
      </c>
    </row>
    <row r="37" spans="1:6" x14ac:dyDescent="0.3">
      <c r="A37">
        <v>36</v>
      </c>
      <c r="B37">
        <v>36</v>
      </c>
      <c r="C37">
        <v>36</v>
      </c>
      <c r="D37" s="2">
        <v>46347</v>
      </c>
      <c r="E37" s="2">
        <v>46349</v>
      </c>
      <c r="F37" t="s">
        <v>331</v>
      </c>
    </row>
    <row r="38" spans="1:6" x14ac:dyDescent="0.3">
      <c r="A38">
        <v>37</v>
      </c>
      <c r="B38">
        <v>37</v>
      </c>
      <c r="C38">
        <v>37</v>
      </c>
      <c r="D38" s="2">
        <v>46348</v>
      </c>
      <c r="E38" s="2">
        <v>46351</v>
      </c>
      <c r="F38" t="s">
        <v>331</v>
      </c>
    </row>
    <row r="39" spans="1:6" x14ac:dyDescent="0.3">
      <c r="A39">
        <v>38</v>
      </c>
      <c r="B39">
        <v>38</v>
      </c>
      <c r="C39">
        <v>38</v>
      </c>
      <c r="D39" s="2">
        <v>46349</v>
      </c>
      <c r="E39" s="2">
        <v>46353</v>
      </c>
      <c r="F39" t="s">
        <v>331</v>
      </c>
    </row>
    <row r="40" spans="1:6" x14ac:dyDescent="0.3">
      <c r="A40">
        <v>39</v>
      </c>
      <c r="B40">
        <v>39</v>
      </c>
      <c r="C40">
        <v>39</v>
      </c>
      <c r="D40" s="2">
        <v>46350</v>
      </c>
      <c r="E40" s="2">
        <v>46352</v>
      </c>
      <c r="F40" t="s">
        <v>331</v>
      </c>
    </row>
    <row r="41" spans="1:6" x14ac:dyDescent="0.3">
      <c r="A41">
        <v>40</v>
      </c>
      <c r="B41">
        <v>40</v>
      </c>
      <c r="C41">
        <v>40</v>
      </c>
      <c r="D41" s="2">
        <v>46351</v>
      </c>
      <c r="E41" s="2">
        <v>46354</v>
      </c>
      <c r="F41" t="s">
        <v>332</v>
      </c>
    </row>
    <row r="42" spans="1:6" x14ac:dyDescent="0.3">
      <c r="A42">
        <v>41</v>
      </c>
      <c r="B42">
        <v>41</v>
      </c>
      <c r="C42">
        <v>41</v>
      </c>
      <c r="D42" s="2">
        <v>46352</v>
      </c>
      <c r="E42" s="2">
        <v>46356</v>
      </c>
      <c r="F42" t="s">
        <v>330</v>
      </c>
    </row>
    <row r="43" spans="1:6" x14ac:dyDescent="0.3">
      <c r="A43">
        <v>42</v>
      </c>
      <c r="B43">
        <v>42</v>
      </c>
      <c r="C43">
        <v>42</v>
      </c>
      <c r="D43" s="2">
        <v>46353</v>
      </c>
      <c r="E43" s="2">
        <v>46355</v>
      </c>
      <c r="F43" t="s">
        <v>331</v>
      </c>
    </row>
    <row r="44" spans="1:6" x14ac:dyDescent="0.3">
      <c r="A44">
        <v>43</v>
      </c>
      <c r="B44">
        <v>43</v>
      </c>
      <c r="C44">
        <v>43</v>
      </c>
      <c r="D44" s="2">
        <v>46354</v>
      </c>
      <c r="E44" s="2">
        <v>46357</v>
      </c>
      <c r="F44" t="s">
        <v>331</v>
      </c>
    </row>
    <row r="45" spans="1:6" x14ac:dyDescent="0.3">
      <c r="A45">
        <v>44</v>
      </c>
      <c r="B45">
        <v>44</v>
      </c>
      <c r="C45">
        <v>44</v>
      </c>
      <c r="D45" s="2">
        <v>46355</v>
      </c>
      <c r="E45" s="2">
        <v>46359</v>
      </c>
      <c r="F45" t="s">
        <v>331</v>
      </c>
    </row>
    <row r="46" spans="1:6" x14ac:dyDescent="0.3">
      <c r="A46">
        <v>45</v>
      </c>
      <c r="B46">
        <v>45</v>
      </c>
      <c r="C46">
        <v>45</v>
      </c>
      <c r="D46" s="2">
        <v>46356</v>
      </c>
      <c r="E46" s="2">
        <v>46358</v>
      </c>
      <c r="F46" t="s">
        <v>331</v>
      </c>
    </row>
    <row r="47" spans="1:6" x14ac:dyDescent="0.3">
      <c r="A47">
        <v>46</v>
      </c>
      <c r="B47">
        <v>46</v>
      </c>
      <c r="C47">
        <v>46</v>
      </c>
      <c r="D47" s="2">
        <v>46357</v>
      </c>
      <c r="E47" s="2">
        <v>46360</v>
      </c>
      <c r="F47" t="s">
        <v>331</v>
      </c>
    </row>
    <row r="48" spans="1:6" x14ac:dyDescent="0.3">
      <c r="A48">
        <v>47</v>
      </c>
      <c r="B48">
        <v>47</v>
      </c>
      <c r="C48">
        <v>47</v>
      </c>
      <c r="D48" s="2">
        <v>46358</v>
      </c>
      <c r="E48" s="2">
        <v>46362</v>
      </c>
      <c r="F48" t="s">
        <v>331</v>
      </c>
    </row>
    <row r="49" spans="1:6" x14ac:dyDescent="0.3">
      <c r="A49">
        <v>48</v>
      </c>
      <c r="B49">
        <v>48</v>
      </c>
      <c r="C49">
        <v>48</v>
      </c>
      <c r="D49" s="2">
        <v>46359</v>
      </c>
      <c r="E49" s="2">
        <v>46361</v>
      </c>
      <c r="F49" t="s">
        <v>331</v>
      </c>
    </row>
    <row r="50" spans="1:6" x14ac:dyDescent="0.3">
      <c r="A50">
        <v>49</v>
      </c>
      <c r="B50">
        <v>49</v>
      </c>
      <c r="C50">
        <v>49</v>
      </c>
      <c r="D50" s="2">
        <v>46360</v>
      </c>
      <c r="E50" s="2">
        <v>46363</v>
      </c>
      <c r="F50" t="s">
        <v>331</v>
      </c>
    </row>
    <row r="51" spans="1:6" x14ac:dyDescent="0.3">
      <c r="A51">
        <v>50</v>
      </c>
      <c r="B51">
        <v>50</v>
      </c>
      <c r="C51">
        <v>50</v>
      </c>
      <c r="D51" s="2">
        <v>46361</v>
      </c>
      <c r="E51" s="2">
        <v>46365</v>
      </c>
      <c r="F51" t="s">
        <v>332</v>
      </c>
    </row>
    <row r="52" spans="1:6" x14ac:dyDescent="0.3">
      <c r="A52">
        <v>51</v>
      </c>
      <c r="B52">
        <v>51</v>
      </c>
      <c r="C52">
        <v>1</v>
      </c>
      <c r="D52" s="2">
        <v>46362</v>
      </c>
      <c r="E52" s="2">
        <v>46364</v>
      </c>
      <c r="F52" t="s">
        <v>330</v>
      </c>
    </row>
    <row r="53" spans="1:6" x14ac:dyDescent="0.3">
      <c r="A53">
        <v>52</v>
      </c>
      <c r="B53">
        <v>52</v>
      </c>
      <c r="C53">
        <v>2</v>
      </c>
      <c r="D53" s="2">
        <v>46363</v>
      </c>
      <c r="E53" s="2">
        <v>46366</v>
      </c>
      <c r="F53" t="s">
        <v>331</v>
      </c>
    </row>
    <row r="54" spans="1:6" x14ac:dyDescent="0.3">
      <c r="A54">
        <v>53</v>
      </c>
      <c r="B54">
        <v>53</v>
      </c>
      <c r="C54">
        <v>3</v>
      </c>
      <c r="D54" s="2">
        <v>46364</v>
      </c>
      <c r="E54" s="2">
        <v>46368</v>
      </c>
      <c r="F54" t="s">
        <v>331</v>
      </c>
    </row>
    <row r="55" spans="1:6" x14ac:dyDescent="0.3">
      <c r="A55">
        <v>54</v>
      </c>
      <c r="B55">
        <v>54</v>
      </c>
      <c r="C55">
        <v>4</v>
      </c>
      <c r="D55" s="2">
        <v>46365</v>
      </c>
      <c r="E55" s="2">
        <v>46367</v>
      </c>
      <c r="F55" t="s">
        <v>331</v>
      </c>
    </row>
    <row r="56" spans="1:6" x14ac:dyDescent="0.3">
      <c r="A56">
        <v>55</v>
      </c>
      <c r="B56">
        <v>55</v>
      </c>
      <c r="C56">
        <v>5</v>
      </c>
      <c r="D56" s="2">
        <v>46366</v>
      </c>
      <c r="E56" s="2">
        <v>46369</v>
      </c>
      <c r="F56" t="s">
        <v>331</v>
      </c>
    </row>
    <row r="57" spans="1:6" x14ac:dyDescent="0.3">
      <c r="A57">
        <v>56</v>
      </c>
      <c r="B57">
        <v>56</v>
      </c>
      <c r="C57">
        <v>6</v>
      </c>
      <c r="D57" s="2">
        <v>46367</v>
      </c>
      <c r="E57" s="2">
        <v>46371</v>
      </c>
      <c r="F57" t="s">
        <v>331</v>
      </c>
    </row>
    <row r="58" spans="1:6" x14ac:dyDescent="0.3">
      <c r="A58">
        <v>57</v>
      </c>
      <c r="B58">
        <v>57</v>
      </c>
      <c r="C58">
        <v>7</v>
      </c>
      <c r="D58" s="2">
        <v>46368</v>
      </c>
      <c r="E58" s="2">
        <v>46370</v>
      </c>
      <c r="F58" t="s">
        <v>331</v>
      </c>
    </row>
    <row r="59" spans="1:6" x14ac:dyDescent="0.3">
      <c r="A59">
        <v>58</v>
      </c>
      <c r="B59">
        <v>58</v>
      </c>
      <c r="C59">
        <v>8</v>
      </c>
      <c r="D59" s="2">
        <v>46369</v>
      </c>
      <c r="E59" s="2">
        <v>46372</v>
      </c>
      <c r="F59" t="s">
        <v>331</v>
      </c>
    </row>
    <row r="60" spans="1:6" x14ac:dyDescent="0.3">
      <c r="A60">
        <v>59</v>
      </c>
      <c r="B60">
        <v>59</v>
      </c>
      <c r="C60">
        <v>9</v>
      </c>
      <c r="D60" s="2">
        <v>46370</v>
      </c>
      <c r="E60" s="2">
        <v>46374</v>
      </c>
      <c r="F60" t="s">
        <v>331</v>
      </c>
    </row>
    <row r="61" spans="1:6" x14ac:dyDescent="0.3">
      <c r="A61">
        <v>60</v>
      </c>
      <c r="B61">
        <v>60</v>
      </c>
      <c r="C61">
        <v>10</v>
      </c>
      <c r="D61" s="2">
        <v>46371</v>
      </c>
      <c r="E61" s="2">
        <v>46373</v>
      </c>
      <c r="F61" t="s">
        <v>332</v>
      </c>
    </row>
    <row r="62" spans="1:6" x14ac:dyDescent="0.3">
      <c r="A62">
        <v>61</v>
      </c>
      <c r="B62">
        <v>61</v>
      </c>
      <c r="C62">
        <v>11</v>
      </c>
      <c r="D62" s="2">
        <v>46372</v>
      </c>
      <c r="E62" s="2">
        <v>46375</v>
      </c>
      <c r="F62" t="s">
        <v>330</v>
      </c>
    </row>
    <row r="63" spans="1:6" x14ac:dyDescent="0.3">
      <c r="A63">
        <v>62</v>
      </c>
      <c r="B63">
        <v>62</v>
      </c>
      <c r="C63">
        <v>12</v>
      </c>
      <c r="D63" s="2">
        <v>46373</v>
      </c>
      <c r="E63" s="2">
        <v>46377</v>
      </c>
      <c r="F63" t="s">
        <v>331</v>
      </c>
    </row>
    <row r="64" spans="1:6" x14ac:dyDescent="0.3">
      <c r="A64">
        <v>63</v>
      </c>
      <c r="B64">
        <v>63</v>
      </c>
      <c r="C64">
        <v>13</v>
      </c>
      <c r="D64" s="2">
        <v>46374</v>
      </c>
      <c r="E64" s="2">
        <v>46376</v>
      </c>
      <c r="F64" t="s">
        <v>331</v>
      </c>
    </row>
    <row r="65" spans="1:6" x14ac:dyDescent="0.3">
      <c r="A65">
        <v>64</v>
      </c>
      <c r="B65">
        <v>64</v>
      </c>
      <c r="C65">
        <v>14</v>
      </c>
      <c r="D65" s="2">
        <v>46375</v>
      </c>
      <c r="E65" s="2">
        <v>46378</v>
      </c>
      <c r="F65" t="s">
        <v>331</v>
      </c>
    </row>
    <row r="66" spans="1:6" x14ac:dyDescent="0.3">
      <c r="A66">
        <v>65</v>
      </c>
      <c r="B66">
        <v>65</v>
      </c>
      <c r="C66">
        <v>15</v>
      </c>
      <c r="D66" s="2">
        <v>46376</v>
      </c>
      <c r="E66" s="2">
        <v>46380</v>
      </c>
      <c r="F66" t="s">
        <v>331</v>
      </c>
    </row>
    <row r="67" spans="1:6" x14ac:dyDescent="0.3">
      <c r="A67">
        <v>66</v>
      </c>
      <c r="B67">
        <v>66</v>
      </c>
      <c r="C67">
        <v>16</v>
      </c>
      <c r="D67" s="2">
        <v>46377</v>
      </c>
      <c r="E67" s="2">
        <v>46379</v>
      </c>
      <c r="F67" t="s">
        <v>331</v>
      </c>
    </row>
    <row r="68" spans="1:6" x14ac:dyDescent="0.3">
      <c r="A68">
        <v>67</v>
      </c>
      <c r="B68">
        <v>67</v>
      </c>
      <c r="C68">
        <v>17</v>
      </c>
      <c r="D68" s="2">
        <v>46378</v>
      </c>
      <c r="E68" s="2">
        <v>46381</v>
      </c>
      <c r="F68" t="s">
        <v>331</v>
      </c>
    </row>
    <row r="69" spans="1:6" x14ac:dyDescent="0.3">
      <c r="A69">
        <v>68</v>
      </c>
      <c r="B69">
        <v>68</v>
      </c>
      <c r="C69">
        <v>18</v>
      </c>
      <c r="D69" s="2">
        <v>46379</v>
      </c>
      <c r="E69" s="2">
        <v>46383</v>
      </c>
      <c r="F69" t="s">
        <v>331</v>
      </c>
    </row>
    <row r="70" spans="1:6" x14ac:dyDescent="0.3">
      <c r="A70">
        <v>69</v>
      </c>
      <c r="B70">
        <v>69</v>
      </c>
      <c r="C70">
        <v>19</v>
      </c>
      <c r="D70" s="2">
        <v>46380</v>
      </c>
      <c r="E70" s="2">
        <v>46382</v>
      </c>
      <c r="F70" t="s">
        <v>331</v>
      </c>
    </row>
    <row r="71" spans="1:6" x14ac:dyDescent="0.3">
      <c r="A71">
        <v>70</v>
      </c>
      <c r="B71">
        <v>70</v>
      </c>
      <c r="C71">
        <v>20</v>
      </c>
      <c r="D71" s="2">
        <v>46381</v>
      </c>
      <c r="E71" s="2">
        <v>46384</v>
      </c>
      <c r="F71" t="s">
        <v>332</v>
      </c>
    </row>
    <row r="72" spans="1:6" x14ac:dyDescent="0.3">
      <c r="A72">
        <v>71</v>
      </c>
      <c r="B72">
        <v>71</v>
      </c>
      <c r="C72">
        <v>21</v>
      </c>
      <c r="D72" s="2">
        <v>46382</v>
      </c>
      <c r="E72" s="2">
        <v>46386</v>
      </c>
      <c r="F72" t="s">
        <v>330</v>
      </c>
    </row>
    <row r="73" spans="1:6" x14ac:dyDescent="0.3">
      <c r="A73">
        <v>72</v>
      </c>
      <c r="B73">
        <v>72</v>
      </c>
      <c r="C73">
        <v>22</v>
      </c>
      <c r="D73" s="2">
        <v>46383</v>
      </c>
      <c r="E73" s="2">
        <v>46385</v>
      </c>
      <c r="F73" t="s">
        <v>331</v>
      </c>
    </row>
    <row r="74" spans="1:6" x14ac:dyDescent="0.3">
      <c r="A74">
        <v>73</v>
      </c>
      <c r="B74">
        <v>73</v>
      </c>
      <c r="C74">
        <v>23</v>
      </c>
      <c r="D74" s="2">
        <v>46384</v>
      </c>
      <c r="E74" s="2">
        <v>46387</v>
      </c>
      <c r="F74" t="s">
        <v>331</v>
      </c>
    </row>
    <row r="75" spans="1:6" x14ac:dyDescent="0.3">
      <c r="A75">
        <v>74</v>
      </c>
      <c r="B75">
        <v>74</v>
      </c>
      <c r="C75">
        <v>24</v>
      </c>
      <c r="D75" s="2">
        <v>46385</v>
      </c>
      <c r="E75" s="2">
        <v>46389</v>
      </c>
      <c r="F75" t="s">
        <v>331</v>
      </c>
    </row>
    <row r="76" spans="1:6" x14ac:dyDescent="0.3">
      <c r="A76">
        <v>75</v>
      </c>
      <c r="B76">
        <v>75</v>
      </c>
      <c r="C76">
        <v>25</v>
      </c>
      <c r="D76" s="2">
        <v>46386</v>
      </c>
      <c r="E76" s="2">
        <v>46388</v>
      </c>
      <c r="F76" t="s">
        <v>331</v>
      </c>
    </row>
    <row r="77" spans="1:6" x14ac:dyDescent="0.3">
      <c r="A77">
        <v>76</v>
      </c>
      <c r="B77">
        <v>76</v>
      </c>
      <c r="C77">
        <v>26</v>
      </c>
      <c r="D77" s="2">
        <v>46387</v>
      </c>
      <c r="E77" s="2">
        <v>46390</v>
      </c>
      <c r="F77" t="s">
        <v>331</v>
      </c>
    </row>
    <row r="78" spans="1:6" x14ac:dyDescent="0.3">
      <c r="A78">
        <v>77</v>
      </c>
      <c r="B78">
        <v>77</v>
      </c>
      <c r="C78">
        <v>27</v>
      </c>
      <c r="D78" s="2">
        <v>46388</v>
      </c>
      <c r="E78" s="2">
        <v>46392</v>
      </c>
      <c r="F78" t="s">
        <v>331</v>
      </c>
    </row>
    <row r="79" spans="1:6" x14ac:dyDescent="0.3">
      <c r="A79">
        <v>78</v>
      </c>
      <c r="B79">
        <v>78</v>
      </c>
      <c r="C79">
        <v>28</v>
      </c>
      <c r="D79" s="2">
        <v>46389</v>
      </c>
      <c r="E79" s="2">
        <v>46391</v>
      </c>
      <c r="F79" t="s">
        <v>331</v>
      </c>
    </row>
    <row r="80" spans="1:6" x14ac:dyDescent="0.3">
      <c r="A80">
        <v>79</v>
      </c>
      <c r="B80">
        <v>79</v>
      </c>
      <c r="C80">
        <v>29</v>
      </c>
      <c r="D80" s="2">
        <v>46390</v>
      </c>
      <c r="E80" s="2">
        <v>46393</v>
      </c>
      <c r="F80" t="s">
        <v>331</v>
      </c>
    </row>
    <row r="81" spans="1:6" x14ac:dyDescent="0.3">
      <c r="A81">
        <v>80</v>
      </c>
      <c r="B81">
        <v>80</v>
      </c>
      <c r="C81">
        <v>30</v>
      </c>
      <c r="D81" s="2">
        <v>46391</v>
      </c>
      <c r="E81" s="2">
        <v>46395</v>
      </c>
      <c r="F81" t="s">
        <v>332</v>
      </c>
    </row>
    <row r="82" spans="1:6" x14ac:dyDescent="0.3">
      <c r="A82">
        <v>81</v>
      </c>
      <c r="B82">
        <v>81</v>
      </c>
      <c r="C82">
        <v>31</v>
      </c>
      <c r="D82" s="2">
        <v>46392</v>
      </c>
      <c r="E82" s="2">
        <v>46394</v>
      </c>
      <c r="F82" t="s">
        <v>330</v>
      </c>
    </row>
    <row r="83" spans="1:6" x14ac:dyDescent="0.3">
      <c r="A83">
        <v>82</v>
      </c>
      <c r="B83">
        <v>82</v>
      </c>
      <c r="C83">
        <v>32</v>
      </c>
      <c r="D83" s="2">
        <v>46393</v>
      </c>
      <c r="E83" s="2">
        <v>46396</v>
      </c>
      <c r="F83" t="s">
        <v>331</v>
      </c>
    </row>
    <row r="84" spans="1:6" x14ac:dyDescent="0.3">
      <c r="A84">
        <v>83</v>
      </c>
      <c r="B84">
        <v>83</v>
      </c>
      <c r="C84">
        <v>33</v>
      </c>
      <c r="D84" s="2">
        <v>46394</v>
      </c>
      <c r="E84" s="2">
        <v>46398</v>
      </c>
      <c r="F84" t="s">
        <v>331</v>
      </c>
    </row>
    <row r="85" spans="1:6" x14ac:dyDescent="0.3">
      <c r="A85">
        <v>84</v>
      </c>
      <c r="B85">
        <v>84</v>
      </c>
      <c r="C85">
        <v>34</v>
      </c>
      <c r="D85" s="2">
        <v>46395</v>
      </c>
      <c r="E85" s="2">
        <v>46397</v>
      </c>
      <c r="F85" t="s">
        <v>331</v>
      </c>
    </row>
    <row r="86" spans="1:6" x14ac:dyDescent="0.3">
      <c r="A86">
        <v>85</v>
      </c>
      <c r="B86">
        <v>85</v>
      </c>
      <c r="C86">
        <v>35</v>
      </c>
      <c r="D86" s="2">
        <v>46396</v>
      </c>
      <c r="E86" s="2">
        <v>46399</v>
      </c>
      <c r="F86" t="s">
        <v>331</v>
      </c>
    </row>
    <row r="87" spans="1:6" x14ac:dyDescent="0.3">
      <c r="A87">
        <v>86</v>
      </c>
      <c r="B87">
        <v>86</v>
      </c>
      <c r="C87">
        <v>36</v>
      </c>
      <c r="D87" s="2">
        <v>46397</v>
      </c>
      <c r="E87" s="2">
        <v>46401</v>
      </c>
      <c r="F87" t="s">
        <v>331</v>
      </c>
    </row>
    <row r="88" spans="1:6" x14ac:dyDescent="0.3">
      <c r="A88">
        <v>87</v>
      </c>
      <c r="B88">
        <v>87</v>
      </c>
      <c r="C88">
        <v>37</v>
      </c>
      <c r="D88" s="2">
        <v>46398</v>
      </c>
      <c r="E88" s="2">
        <v>46400</v>
      </c>
      <c r="F88" t="s">
        <v>331</v>
      </c>
    </row>
    <row r="89" spans="1:6" x14ac:dyDescent="0.3">
      <c r="A89">
        <v>88</v>
      </c>
      <c r="B89">
        <v>88</v>
      </c>
      <c r="C89">
        <v>38</v>
      </c>
      <c r="D89" s="2">
        <v>46399</v>
      </c>
      <c r="E89" s="2">
        <v>46402</v>
      </c>
      <c r="F89" t="s">
        <v>331</v>
      </c>
    </row>
    <row r="90" spans="1:6" x14ac:dyDescent="0.3">
      <c r="A90">
        <v>89</v>
      </c>
      <c r="B90">
        <v>89</v>
      </c>
      <c r="C90">
        <v>39</v>
      </c>
      <c r="D90" s="2">
        <v>46400</v>
      </c>
      <c r="E90" s="2">
        <v>46404</v>
      </c>
      <c r="F90" t="s">
        <v>331</v>
      </c>
    </row>
    <row r="91" spans="1:6" x14ac:dyDescent="0.3">
      <c r="A91">
        <v>90</v>
      </c>
      <c r="B91">
        <v>90</v>
      </c>
      <c r="C91">
        <v>40</v>
      </c>
      <c r="D91" s="2">
        <v>46401</v>
      </c>
      <c r="E91" s="2">
        <v>46403</v>
      </c>
      <c r="F91" t="s">
        <v>332</v>
      </c>
    </row>
    <row r="92" spans="1:6" x14ac:dyDescent="0.3">
      <c r="A92">
        <v>91</v>
      </c>
      <c r="B92">
        <v>91</v>
      </c>
      <c r="C92">
        <v>41</v>
      </c>
      <c r="D92" s="2">
        <v>46402</v>
      </c>
      <c r="E92" s="2">
        <v>46405</v>
      </c>
      <c r="F92" t="s">
        <v>330</v>
      </c>
    </row>
    <row r="93" spans="1:6" x14ac:dyDescent="0.3">
      <c r="A93">
        <v>92</v>
      </c>
      <c r="B93">
        <v>92</v>
      </c>
      <c r="C93">
        <v>42</v>
      </c>
      <c r="D93" s="2">
        <v>46403</v>
      </c>
      <c r="E93" s="2">
        <v>46407</v>
      </c>
      <c r="F93" t="s">
        <v>331</v>
      </c>
    </row>
    <row r="94" spans="1:6" x14ac:dyDescent="0.3">
      <c r="A94">
        <v>93</v>
      </c>
      <c r="B94">
        <v>93</v>
      </c>
      <c r="C94">
        <v>43</v>
      </c>
      <c r="D94" s="2">
        <v>46404</v>
      </c>
      <c r="E94" s="2">
        <v>46406</v>
      </c>
      <c r="F94" t="s">
        <v>331</v>
      </c>
    </row>
    <row r="95" spans="1:6" x14ac:dyDescent="0.3">
      <c r="A95">
        <v>94</v>
      </c>
      <c r="B95">
        <v>94</v>
      </c>
      <c r="C95">
        <v>44</v>
      </c>
      <c r="D95" s="2">
        <v>46405</v>
      </c>
      <c r="E95" s="2">
        <v>46408</v>
      </c>
      <c r="F95" t="s">
        <v>331</v>
      </c>
    </row>
    <row r="96" spans="1:6" x14ac:dyDescent="0.3">
      <c r="A96">
        <v>95</v>
      </c>
      <c r="B96">
        <v>95</v>
      </c>
      <c r="C96">
        <v>45</v>
      </c>
      <c r="D96" s="2">
        <v>46406</v>
      </c>
      <c r="E96" s="2">
        <v>46410</v>
      </c>
      <c r="F96" t="s">
        <v>331</v>
      </c>
    </row>
    <row r="97" spans="1:6" x14ac:dyDescent="0.3">
      <c r="A97">
        <v>96</v>
      </c>
      <c r="B97">
        <v>96</v>
      </c>
      <c r="C97">
        <v>46</v>
      </c>
      <c r="D97" s="2">
        <v>46407</v>
      </c>
      <c r="E97" s="2">
        <v>46409</v>
      </c>
      <c r="F97" t="s">
        <v>331</v>
      </c>
    </row>
    <row r="98" spans="1:6" x14ac:dyDescent="0.3">
      <c r="A98">
        <v>97</v>
      </c>
      <c r="B98">
        <v>97</v>
      </c>
      <c r="C98">
        <v>47</v>
      </c>
      <c r="D98" s="2">
        <v>46408</v>
      </c>
      <c r="E98" s="2">
        <v>46411</v>
      </c>
      <c r="F98" t="s">
        <v>331</v>
      </c>
    </row>
    <row r="99" spans="1:6" x14ac:dyDescent="0.3">
      <c r="A99">
        <v>98</v>
      </c>
      <c r="B99">
        <v>98</v>
      </c>
      <c r="C99">
        <v>48</v>
      </c>
      <c r="D99" s="2">
        <v>46409</v>
      </c>
      <c r="E99" s="2">
        <v>46413</v>
      </c>
      <c r="F99" t="s">
        <v>331</v>
      </c>
    </row>
    <row r="100" spans="1:6" x14ac:dyDescent="0.3">
      <c r="A100">
        <v>99</v>
      </c>
      <c r="B100">
        <v>99</v>
      </c>
      <c r="C100">
        <v>49</v>
      </c>
      <c r="D100" s="2">
        <v>46410</v>
      </c>
      <c r="E100" s="2">
        <v>46412</v>
      </c>
      <c r="F100" t="s">
        <v>331</v>
      </c>
    </row>
    <row r="101" spans="1:6" x14ac:dyDescent="0.3">
      <c r="A101">
        <v>100</v>
      </c>
      <c r="B101">
        <v>100</v>
      </c>
      <c r="C101">
        <v>50</v>
      </c>
      <c r="D101" s="2">
        <v>46411</v>
      </c>
      <c r="E101" s="2">
        <v>46414</v>
      </c>
      <c r="F101" t="s">
        <v>332</v>
      </c>
    </row>
    <row r="102" spans="1:6" x14ac:dyDescent="0.3">
      <c r="A102">
        <v>101</v>
      </c>
      <c r="B102">
        <v>1</v>
      </c>
      <c r="C102">
        <v>1</v>
      </c>
      <c r="D102" s="2">
        <v>46412</v>
      </c>
      <c r="E102" s="2">
        <v>46416</v>
      </c>
      <c r="F102" t="s">
        <v>330</v>
      </c>
    </row>
    <row r="103" spans="1:6" x14ac:dyDescent="0.3">
      <c r="A103">
        <v>102</v>
      </c>
      <c r="B103">
        <v>2</v>
      </c>
      <c r="C103">
        <v>2</v>
      </c>
      <c r="D103" s="2">
        <v>46413</v>
      </c>
      <c r="E103" s="2">
        <v>46415</v>
      </c>
      <c r="F103" t="s">
        <v>331</v>
      </c>
    </row>
    <row r="104" spans="1:6" x14ac:dyDescent="0.3">
      <c r="A104">
        <v>103</v>
      </c>
      <c r="B104">
        <v>3</v>
      </c>
      <c r="C104">
        <v>3</v>
      </c>
      <c r="D104" s="2">
        <v>46414</v>
      </c>
      <c r="E104" s="2">
        <v>46417</v>
      </c>
      <c r="F104" t="s">
        <v>331</v>
      </c>
    </row>
    <row r="105" spans="1:6" x14ac:dyDescent="0.3">
      <c r="A105">
        <v>104</v>
      </c>
      <c r="B105">
        <v>4</v>
      </c>
      <c r="C105">
        <v>4</v>
      </c>
      <c r="D105" s="2">
        <v>46415</v>
      </c>
      <c r="E105" s="2">
        <v>46419</v>
      </c>
      <c r="F105" t="s">
        <v>331</v>
      </c>
    </row>
    <row r="106" spans="1:6" x14ac:dyDescent="0.3">
      <c r="A106">
        <v>105</v>
      </c>
      <c r="B106">
        <v>5</v>
      </c>
      <c r="C106">
        <v>5</v>
      </c>
      <c r="D106" s="2">
        <v>46416</v>
      </c>
      <c r="E106" s="2">
        <v>46418</v>
      </c>
      <c r="F106" t="s">
        <v>331</v>
      </c>
    </row>
    <row r="107" spans="1:6" x14ac:dyDescent="0.3">
      <c r="A107">
        <v>106</v>
      </c>
      <c r="B107">
        <v>6</v>
      </c>
      <c r="C107">
        <v>6</v>
      </c>
      <c r="D107" s="2">
        <v>46417</v>
      </c>
      <c r="E107" s="2">
        <v>46420</v>
      </c>
      <c r="F107" t="s">
        <v>331</v>
      </c>
    </row>
    <row r="108" spans="1:6" x14ac:dyDescent="0.3">
      <c r="A108">
        <v>107</v>
      </c>
      <c r="B108">
        <v>7</v>
      </c>
      <c r="C108">
        <v>7</v>
      </c>
      <c r="D108" s="2">
        <v>46418</v>
      </c>
      <c r="E108" s="2">
        <v>46422</v>
      </c>
      <c r="F108" t="s">
        <v>331</v>
      </c>
    </row>
    <row r="109" spans="1:6" x14ac:dyDescent="0.3">
      <c r="A109">
        <v>108</v>
      </c>
      <c r="B109">
        <v>8</v>
      </c>
      <c r="C109">
        <v>8</v>
      </c>
      <c r="D109" s="2">
        <v>46419</v>
      </c>
      <c r="E109" s="2">
        <v>46421</v>
      </c>
      <c r="F109" t="s">
        <v>331</v>
      </c>
    </row>
    <row r="110" spans="1:6" x14ac:dyDescent="0.3">
      <c r="A110">
        <v>109</v>
      </c>
      <c r="B110">
        <v>9</v>
      </c>
      <c r="C110">
        <v>9</v>
      </c>
      <c r="D110" s="2">
        <v>46420</v>
      </c>
      <c r="E110" s="2">
        <v>46423</v>
      </c>
      <c r="F110" t="s">
        <v>331</v>
      </c>
    </row>
    <row r="111" spans="1:6" x14ac:dyDescent="0.3">
      <c r="A111">
        <v>110</v>
      </c>
      <c r="B111">
        <v>10</v>
      </c>
      <c r="C111">
        <v>10</v>
      </c>
      <c r="D111" s="2">
        <v>46421</v>
      </c>
      <c r="E111" s="2">
        <v>46425</v>
      </c>
      <c r="F111" t="s">
        <v>332</v>
      </c>
    </row>
    <row r="112" spans="1:6" x14ac:dyDescent="0.3">
      <c r="A112">
        <v>111</v>
      </c>
      <c r="B112">
        <v>11</v>
      </c>
      <c r="C112">
        <v>11</v>
      </c>
      <c r="D112" s="2">
        <v>46422</v>
      </c>
      <c r="E112" s="2">
        <v>46424</v>
      </c>
      <c r="F112" t="s">
        <v>330</v>
      </c>
    </row>
    <row r="113" spans="1:6" x14ac:dyDescent="0.3">
      <c r="A113">
        <v>112</v>
      </c>
      <c r="B113">
        <v>12</v>
      </c>
      <c r="C113">
        <v>12</v>
      </c>
      <c r="D113" s="2">
        <v>46423</v>
      </c>
      <c r="E113" s="2">
        <v>46426</v>
      </c>
      <c r="F113" t="s">
        <v>331</v>
      </c>
    </row>
    <row r="114" spans="1:6" x14ac:dyDescent="0.3">
      <c r="A114">
        <v>113</v>
      </c>
      <c r="B114">
        <v>13</v>
      </c>
      <c r="C114">
        <v>13</v>
      </c>
      <c r="D114" s="2">
        <v>46424</v>
      </c>
      <c r="E114" s="2">
        <v>46428</v>
      </c>
      <c r="F114" t="s">
        <v>331</v>
      </c>
    </row>
    <row r="115" spans="1:6" x14ac:dyDescent="0.3">
      <c r="A115">
        <v>114</v>
      </c>
      <c r="B115">
        <v>14</v>
      </c>
      <c r="C115">
        <v>14</v>
      </c>
      <c r="D115" s="2">
        <v>46425</v>
      </c>
      <c r="E115" s="2">
        <v>46427</v>
      </c>
      <c r="F115" t="s">
        <v>331</v>
      </c>
    </row>
    <row r="116" spans="1:6" x14ac:dyDescent="0.3">
      <c r="A116">
        <v>115</v>
      </c>
      <c r="B116">
        <v>15</v>
      </c>
      <c r="C116">
        <v>15</v>
      </c>
      <c r="D116" s="2">
        <v>46426</v>
      </c>
      <c r="E116" s="2">
        <v>46429</v>
      </c>
      <c r="F116" t="s">
        <v>331</v>
      </c>
    </row>
    <row r="117" spans="1:6" x14ac:dyDescent="0.3">
      <c r="A117">
        <v>116</v>
      </c>
      <c r="B117">
        <v>16</v>
      </c>
      <c r="C117">
        <v>16</v>
      </c>
      <c r="D117" s="2">
        <v>46427</v>
      </c>
      <c r="E117" s="2">
        <v>46431</v>
      </c>
      <c r="F117" t="s">
        <v>331</v>
      </c>
    </row>
    <row r="118" spans="1:6" x14ac:dyDescent="0.3">
      <c r="A118">
        <v>117</v>
      </c>
      <c r="B118">
        <v>17</v>
      </c>
      <c r="C118">
        <v>17</v>
      </c>
      <c r="D118" s="2">
        <v>46428</v>
      </c>
      <c r="E118" s="2">
        <v>46430</v>
      </c>
      <c r="F118" t="s">
        <v>331</v>
      </c>
    </row>
    <row r="119" spans="1:6" x14ac:dyDescent="0.3">
      <c r="A119">
        <v>118</v>
      </c>
      <c r="B119">
        <v>18</v>
      </c>
      <c r="C119">
        <v>18</v>
      </c>
      <c r="D119" s="2">
        <v>46429</v>
      </c>
      <c r="E119" s="2">
        <v>46432</v>
      </c>
      <c r="F119" t="s">
        <v>331</v>
      </c>
    </row>
    <row r="120" spans="1:6" x14ac:dyDescent="0.3">
      <c r="A120">
        <v>119</v>
      </c>
      <c r="B120">
        <v>19</v>
      </c>
      <c r="C120">
        <v>19</v>
      </c>
      <c r="D120" s="2">
        <v>46430</v>
      </c>
      <c r="E120" s="2">
        <v>46434</v>
      </c>
      <c r="F120" t="s">
        <v>331</v>
      </c>
    </row>
    <row r="121" spans="1:6" x14ac:dyDescent="0.3">
      <c r="A121">
        <v>120</v>
      </c>
      <c r="B121">
        <v>20</v>
      </c>
      <c r="C121">
        <v>20</v>
      </c>
      <c r="D121" s="2">
        <v>46431</v>
      </c>
      <c r="E121" s="2">
        <v>46433</v>
      </c>
      <c r="F121" t="s">
        <v>332</v>
      </c>
    </row>
    <row r="122" spans="1:6" x14ac:dyDescent="0.3">
      <c r="A122">
        <v>121</v>
      </c>
      <c r="B122">
        <v>21</v>
      </c>
      <c r="C122">
        <v>21</v>
      </c>
      <c r="D122" s="2">
        <v>46432</v>
      </c>
      <c r="E122" s="2">
        <v>46435</v>
      </c>
      <c r="F122" t="s">
        <v>330</v>
      </c>
    </row>
    <row r="123" spans="1:6" x14ac:dyDescent="0.3">
      <c r="A123">
        <v>122</v>
      </c>
      <c r="B123">
        <v>22</v>
      </c>
      <c r="C123">
        <v>22</v>
      </c>
      <c r="D123" s="2">
        <v>46433</v>
      </c>
      <c r="E123" s="2">
        <v>46437</v>
      </c>
      <c r="F123" t="s">
        <v>331</v>
      </c>
    </row>
    <row r="124" spans="1:6" x14ac:dyDescent="0.3">
      <c r="A124">
        <v>123</v>
      </c>
      <c r="B124">
        <v>23</v>
      </c>
      <c r="C124">
        <v>23</v>
      </c>
      <c r="D124" s="2">
        <v>46434</v>
      </c>
      <c r="E124" s="2">
        <v>46436</v>
      </c>
      <c r="F124" t="s">
        <v>331</v>
      </c>
    </row>
    <row r="125" spans="1:6" x14ac:dyDescent="0.3">
      <c r="A125">
        <v>124</v>
      </c>
      <c r="B125">
        <v>24</v>
      </c>
      <c r="C125">
        <v>24</v>
      </c>
      <c r="D125" s="2">
        <v>46435</v>
      </c>
      <c r="E125" s="2">
        <v>46438</v>
      </c>
      <c r="F125" t="s">
        <v>331</v>
      </c>
    </row>
    <row r="126" spans="1:6" x14ac:dyDescent="0.3">
      <c r="A126">
        <v>125</v>
      </c>
      <c r="B126">
        <v>25</v>
      </c>
      <c r="C126">
        <v>25</v>
      </c>
      <c r="D126" s="2">
        <v>46436</v>
      </c>
      <c r="E126" s="2">
        <v>46440</v>
      </c>
      <c r="F126" t="s">
        <v>331</v>
      </c>
    </row>
    <row r="127" spans="1:6" x14ac:dyDescent="0.3">
      <c r="A127">
        <v>126</v>
      </c>
      <c r="B127">
        <v>26</v>
      </c>
      <c r="C127">
        <v>26</v>
      </c>
      <c r="D127" s="2">
        <v>46437</v>
      </c>
      <c r="E127" s="2">
        <v>46439</v>
      </c>
      <c r="F127" t="s">
        <v>331</v>
      </c>
    </row>
    <row r="128" spans="1:6" x14ac:dyDescent="0.3">
      <c r="A128">
        <v>127</v>
      </c>
      <c r="B128">
        <v>27</v>
      </c>
      <c r="C128">
        <v>27</v>
      </c>
      <c r="D128" s="2">
        <v>46438</v>
      </c>
      <c r="E128" s="2">
        <v>46441</v>
      </c>
      <c r="F128" t="s">
        <v>331</v>
      </c>
    </row>
    <row r="129" spans="1:6" x14ac:dyDescent="0.3">
      <c r="A129">
        <v>128</v>
      </c>
      <c r="B129">
        <v>28</v>
      </c>
      <c r="C129">
        <v>28</v>
      </c>
      <c r="D129" s="2">
        <v>46439</v>
      </c>
      <c r="E129" s="2">
        <v>46443</v>
      </c>
      <c r="F129" t="s">
        <v>331</v>
      </c>
    </row>
    <row r="130" spans="1:6" x14ac:dyDescent="0.3">
      <c r="A130">
        <v>129</v>
      </c>
      <c r="B130">
        <v>29</v>
      </c>
      <c r="C130">
        <v>29</v>
      </c>
      <c r="D130" s="2">
        <v>46440</v>
      </c>
      <c r="E130" s="2">
        <v>46442</v>
      </c>
      <c r="F130" t="s">
        <v>331</v>
      </c>
    </row>
    <row r="131" spans="1:6" x14ac:dyDescent="0.3">
      <c r="A131">
        <v>130</v>
      </c>
      <c r="B131">
        <v>30</v>
      </c>
      <c r="C131">
        <v>30</v>
      </c>
      <c r="D131" s="2">
        <v>46441</v>
      </c>
      <c r="E131" s="2">
        <v>46444</v>
      </c>
      <c r="F131" t="s">
        <v>332</v>
      </c>
    </row>
    <row r="132" spans="1:6" x14ac:dyDescent="0.3">
      <c r="A132">
        <v>131</v>
      </c>
      <c r="B132">
        <v>31</v>
      </c>
      <c r="C132">
        <v>31</v>
      </c>
      <c r="D132" s="2">
        <v>46442</v>
      </c>
      <c r="E132" s="2">
        <v>46446</v>
      </c>
      <c r="F132" t="s">
        <v>330</v>
      </c>
    </row>
    <row r="133" spans="1:6" x14ac:dyDescent="0.3">
      <c r="A133">
        <v>132</v>
      </c>
      <c r="B133">
        <v>32</v>
      </c>
      <c r="C133">
        <v>32</v>
      </c>
      <c r="D133" s="2">
        <v>46443</v>
      </c>
      <c r="E133" s="2">
        <v>46445</v>
      </c>
      <c r="F133" t="s">
        <v>331</v>
      </c>
    </row>
    <row r="134" spans="1:6" x14ac:dyDescent="0.3">
      <c r="A134">
        <v>133</v>
      </c>
      <c r="B134">
        <v>33</v>
      </c>
      <c r="C134">
        <v>33</v>
      </c>
      <c r="D134" s="2">
        <v>46444</v>
      </c>
      <c r="E134" s="2">
        <v>46447</v>
      </c>
      <c r="F134" t="s">
        <v>331</v>
      </c>
    </row>
    <row r="135" spans="1:6" x14ac:dyDescent="0.3">
      <c r="A135">
        <v>134</v>
      </c>
      <c r="B135">
        <v>34</v>
      </c>
      <c r="C135">
        <v>34</v>
      </c>
      <c r="D135" s="2">
        <v>46445</v>
      </c>
      <c r="E135" s="2">
        <v>46449</v>
      </c>
      <c r="F135" t="s">
        <v>331</v>
      </c>
    </row>
    <row r="136" spans="1:6" x14ac:dyDescent="0.3">
      <c r="A136">
        <v>135</v>
      </c>
      <c r="B136">
        <v>35</v>
      </c>
      <c r="C136">
        <v>35</v>
      </c>
      <c r="D136" s="2">
        <v>46446</v>
      </c>
      <c r="E136" s="2">
        <v>46448</v>
      </c>
      <c r="F136" t="s">
        <v>331</v>
      </c>
    </row>
    <row r="137" spans="1:6" x14ac:dyDescent="0.3">
      <c r="A137">
        <v>136</v>
      </c>
      <c r="B137">
        <v>36</v>
      </c>
      <c r="C137">
        <v>36</v>
      </c>
      <c r="D137" s="2">
        <v>46447</v>
      </c>
      <c r="E137" s="2">
        <v>46450</v>
      </c>
      <c r="F137" t="s">
        <v>331</v>
      </c>
    </row>
    <row r="138" spans="1:6" x14ac:dyDescent="0.3">
      <c r="A138">
        <v>137</v>
      </c>
      <c r="B138">
        <v>37</v>
      </c>
      <c r="C138">
        <v>37</v>
      </c>
      <c r="D138" s="2">
        <v>46448</v>
      </c>
      <c r="E138" s="2">
        <v>46452</v>
      </c>
      <c r="F138" t="s">
        <v>331</v>
      </c>
    </row>
    <row r="139" spans="1:6" x14ac:dyDescent="0.3">
      <c r="A139">
        <v>138</v>
      </c>
      <c r="B139">
        <v>38</v>
      </c>
      <c r="C139">
        <v>38</v>
      </c>
      <c r="D139" s="2">
        <v>46449</v>
      </c>
      <c r="E139" s="2">
        <v>46451</v>
      </c>
      <c r="F139" t="s">
        <v>331</v>
      </c>
    </row>
    <row r="140" spans="1:6" x14ac:dyDescent="0.3">
      <c r="A140">
        <v>139</v>
      </c>
      <c r="B140">
        <v>39</v>
      </c>
      <c r="C140">
        <v>39</v>
      </c>
      <c r="D140" s="2">
        <v>46450</v>
      </c>
      <c r="E140" s="2">
        <v>46453</v>
      </c>
      <c r="F140" t="s">
        <v>331</v>
      </c>
    </row>
    <row r="141" spans="1:6" x14ac:dyDescent="0.3">
      <c r="A141">
        <v>140</v>
      </c>
      <c r="B141">
        <v>40</v>
      </c>
      <c r="C141">
        <v>40</v>
      </c>
      <c r="D141" s="2">
        <v>46451</v>
      </c>
      <c r="E141" s="2">
        <v>46455</v>
      </c>
      <c r="F141" t="s">
        <v>332</v>
      </c>
    </row>
    <row r="142" spans="1:6" x14ac:dyDescent="0.3">
      <c r="A142">
        <v>141</v>
      </c>
      <c r="B142">
        <v>41</v>
      </c>
      <c r="C142">
        <v>41</v>
      </c>
      <c r="D142" s="2">
        <v>46452</v>
      </c>
      <c r="E142" s="2">
        <v>46454</v>
      </c>
      <c r="F142" t="s">
        <v>330</v>
      </c>
    </row>
    <row r="143" spans="1:6" x14ac:dyDescent="0.3">
      <c r="A143">
        <v>142</v>
      </c>
      <c r="B143">
        <v>42</v>
      </c>
      <c r="C143">
        <v>42</v>
      </c>
      <c r="D143" s="2">
        <v>46453</v>
      </c>
      <c r="E143" s="2">
        <v>46456</v>
      </c>
      <c r="F143" t="s">
        <v>331</v>
      </c>
    </row>
    <row r="144" spans="1:6" x14ac:dyDescent="0.3">
      <c r="A144">
        <v>143</v>
      </c>
      <c r="B144">
        <v>43</v>
      </c>
      <c r="C144">
        <v>43</v>
      </c>
      <c r="D144" s="2">
        <v>46454</v>
      </c>
      <c r="E144" s="2">
        <v>46458</v>
      </c>
      <c r="F144" t="s">
        <v>331</v>
      </c>
    </row>
    <row r="145" spans="1:6" x14ac:dyDescent="0.3">
      <c r="A145">
        <v>144</v>
      </c>
      <c r="B145">
        <v>44</v>
      </c>
      <c r="C145">
        <v>44</v>
      </c>
      <c r="D145" s="2">
        <v>46455</v>
      </c>
      <c r="E145" s="2">
        <v>46457</v>
      </c>
      <c r="F145" t="s">
        <v>331</v>
      </c>
    </row>
    <row r="146" spans="1:6" x14ac:dyDescent="0.3">
      <c r="A146">
        <v>145</v>
      </c>
      <c r="B146">
        <v>45</v>
      </c>
      <c r="C146">
        <v>45</v>
      </c>
      <c r="D146" s="2">
        <v>46456</v>
      </c>
      <c r="E146" s="2">
        <v>46459</v>
      </c>
      <c r="F146" t="s">
        <v>331</v>
      </c>
    </row>
    <row r="147" spans="1:6" x14ac:dyDescent="0.3">
      <c r="A147">
        <v>146</v>
      </c>
      <c r="B147">
        <v>46</v>
      </c>
      <c r="C147">
        <v>46</v>
      </c>
      <c r="D147" s="2">
        <v>46457</v>
      </c>
      <c r="E147" s="2">
        <v>46461</v>
      </c>
      <c r="F147" t="s">
        <v>331</v>
      </c>
    </row>
    <row r="148" spans="1:6" x14ac:dyDescent="0.3">
      <c r="A148">
        <v>147</v>
      </c>
      <c r="B148">
        <v>47</v>
      </c>
      <c r="C148">
        <v>47</v>
      </c>
      <c r="D148" s="2">
        <v>46458</v>
      </c>
      <c r="E148" s="2">
        <v>46460</v>
      </c>
      <c r="F148" t="s">
        <v>331</v>
      </c>
    </row>
    <row r="149" spans="1:6" x14ac:dyDescent="0.3">
      <c r="A149">
        <v>148</v>
      </c>
      <c r="B149">
        <v>48</v>
      </c>
      <c r="C149">
        <v>48</v>
      </c>
      <c r="D149" s="2">
        <v>46459</v>
      </c>
      <c r="E149" s="2">
        <v>46462</v>
      </c>
      <c r="F149" t="s">
        <v>331</v>
      </c>
    </row>
    <row r="150" spans="1:6" x14ac:dyDescent="0.3">
      <c r="A150">
        <v>149</v>
      </c>
      <c r="B150">
        <v>49</v>
      </c>
      <c r="C150">
        <v>49</v>
      </c>
      <c r="D150" s="2">
        <v>46460</v>
      </c>
      <c r="E150" s="2">
        <v>46464</v>
      </c>
      <c r="F150" t="s">
        <v>331</v>
      </c>
    </row>
    <row r="151" spans="1:6" x14ac:dyDescent="0.3">
      <c r="A151">
        <v>150</v>
      </c>
      <c r="B151">
        <v>50</v>
      </c>
      <c r="C151">
        <v>50</v>
      </c>
      <c r="D151" s="2">
        <v>46461</v>
      </c>
      <c r="E151" s="2">
        <v>46463</v>
      </c>
      <c r="F151" t="s">
        <v>332</v>
      </c>
    </row>
  </sheetData>
  <conditionalFormatting sqref="A1:A1048576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F374-CBBD-4DDE-8388-99F86BF08B19}">
  <dimension ref="A1:J101"/>
  <sheetViews>
    <sheetView topLeftCell="B13" workbookViewId="0">
      <selection activeCell="J38" sqref="J38"/>
    </sheetView>
  </sheetViews>
  <sheetFormatPr defaultRowHeight="14.4" x14ac:dyDescent="0.3"/>
  <cols>
    <col min="1" max="1" width="10.109375" bestFit="1" customWidth="1"/>
    <col min="2" max="2" width="18.109375" bestFit="1" customWidth="1"/>
    <col min="3" max="3" width="11" bestFit="1" customWidth="1"/>
    <col min="4" max="4" width="21.109375" bestFit="1" customWidth="1"/>
    <col min="5" max="5" width="8.109375" bestFit="1" customWidth="1"/>
    <col min="6" max="6" width="15.33203125" bestFit="1" customWidth="1"/>
    <col min="7" max="7" width="9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s="1">
        <v>45830.427974537037</v>
      </c>
    </row>
    <row r="3" spans="1:7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s="1">
        <v>45831.395833333336</v>
      </c>
    </row>
    <row r="4" spans="1:7" x14ac:dyDescent="0.3">
      <c r="A4">
        <v>3</v>
      </c>
      <c r="B4" t="s">
        <v>15</v>
      </c>
      <c r="C4" t="s">
        <v>16</v>
      </c>
      <c r="D4" t="s">
        <v>17</v>
      </c>
      <c r="E4" t="s">
        <v>18</v>
      </c>
      <c r="F4" s="1">
        <v>45832.46875</v>
      </c>
      <c r="G4" t="s">
        <v>19</v>
      </c>
    </row>
    <row r="5" spans="1:7" x14ac:dyDescent="0.3">
      <c r="A5">
        <v>4</v>
      </c>
      <c r="B5" t="s">
        <v>20</v>
      </c>
      <c r="C5" t="s">
        <v>21</v>
      </c>
      <c r="D5" t="s">
        <v>22</v>
      </c>
      <c r="E5" t="s">
        <v>23</v>
      </c>
      <c r="F5" s="1">
        <v>45833.597222222219</v>
      </c>
    </row>
    <row r="6" spans="1:7" x14ac:dyDescent="0.3">
      <c r="A6">
        <v>5</v>
      </c>
      <c r="B6" t="s">
        <v>24</v>
      </c>
      <c r="C6" t="s">
        <v>25</v>
      </c>
      <c r="D6" t="s">
        <v>26</v>
      </c>
      <c r="E6" t="s">
        <v>18</v>
      </c>
      <c r="F6" s="1">
        <v>45834.697916666664</v>
      </c>
    </row>
    <row r="7" spans="1:7" x14ac:dyDescent="0.3">
      <c r="A7">
        <v>6</v>
      </c>
      <c r="B7" t="s">
        <v>27</v>
      </c>
      <c r="C7" t="s">
        <v>28</v>
      </c>
      <c r="D7" t="s">
        <v>29</v>
      </c>
      <c r="E7" t="s">
        <v>30</v>
      </c>
      <c r="F7" s="1">
        <v>45835.416666666664</v>
      </c>
    </row>
    <row r="8" spans="1:7" x14ac:dyDescent="0.3">
      <c r="A8">
        <v>7</v>
      </c>
      <c r="B8" t="s">
        <v>31</v>
      </c>
      <c r="C8" t="s">
        <v>32</v>
      </c>
      <c r="D8" t="s">
        <v>33</v>
      </c>
      <c r="E8" t="s">
        <v>14</v>
      </c>
      <c r="F8" s="1">
        <v>45836.520833333336</v>
      </c>
    </row>
    <row r="9" spans="1:7" x14ac:dyDescent="0.3">
      <c r="A9">
        <v>8</v>
      </c>
      <c r="B9" t="s">
        <v>34</v>
      </c>
      <c r="C9" t="s">
        <v>35</v>
      </c>
      <c r="D9" t="s">
        <v>36</v>
      </c>
      <c r="E9" t="s">
        <v>37</v>
      </c>
      <c r="F9" s="1">
        <v>45837.548611111109</v>
      </c>
    </row>
    <row r="10" spans="1:7" x14ac:dyDescent="0.3">
      <c r="A10">
        <v>9</v>
      </c>
      <c r="B10" t="s">
        <v>38</v>
      </c>
      <c r="C10" t="s">
        <v>39</v>
      </c>
      <c r="D10" t="s">
        <v>40</v>
      </c>
      <c r="E10" t="s">
        <v>18</v>
      </c>
      <c r="F10" s="1">
        <v>45838.708333333336</v>
      </c>
    </row>
    <row r="11" spans="1:7" x14ac:dyDescent="0.3">
      <c r="A11">
        <v>10</v>
      </c>
      <c r="B11" t="s">
        <v>41</v>
      </c>
      <c r="C11" t="s">
        <v>42</v>
      </c>
      <c r="D11" t="s">
        <v>43</v>
      </c>
      <c r="E11" t="s">
        <v>23</v>
      </c>
      <c r="F11" s="1">
        <v>45839.364583333336</v>
      </c>
    </row>
    <row r="12" spans="1:7" x14ac:dyDescent="0.3">
      <c r="A12">
        <v>11</v>
      </c>
      <c r="B12" t="s">
        <v>44</v>
      </c>
      <c r="C12" t="s">
        <v>45</v>
      </c>
      <c r="D12" t="s">
        <v>46</v>
      </c>
      <c r="E12" t="s">
        <v>18</v>
      </c>
      <c r="F12" s="1">
        <v>45840.375</v>
      </c>
      <c r="G12" t="s">
        <v>19</v>
      </c>
    </row>
    <row r="13" spans="1:7" x14ac:dyDescent="0.3">
      <c r="A13">
        <v>12</v>
      </c>
      <c r="B13" t="s">
        <v>20</v>
      </c>
      <c r="C13" t="s">
        <v>47</v>
      </c>
      <c r="D13" t="s">
        <v>48</v>
      </c>
      <c r="E13" t="s">
        <v>14</v>
      </c>
      <c r="F13" s="1">
        <v>45840.385416666664</v>
      </c>
      <c r="G13" t="s">
        <v>49</v>
      </c>
    </row>
    <row r="14" spans="1:7" x14ac:dyDescent="0.3">
      <c r="A14">
        <v>13</v>
      </c>
      <c r="B14" t="s">
        <v>50</v>
      </c>
      <c r="C14" t="s">
        <v>51</v>
      </c>
      <c r="D14" t="s">
        <v>52</v>
      </c>
      <c r="E14" t="s">
        <v>23</v>
      </c>
      <c r="F14" s="1">
        <v>45840.395833333336</v>
      </c>
      <c r="G14" t="s">
        <v>19</v>
      </c>
    </row>
    <row r="15" spans="1:7" x14ac:dyDescent="0.3">
      <c r="A15">
        <v>14</v>
      </c>
      <c r="B15" t="s">
        <v>53</v>
      </c>
      <c r="C15" t="s">
        <v>54</v>
      </c>
      <c r="D15" t="s">
        <v>55</v>
      </c>
      <c r="E15" t="s">
        <v>30</v>
      </c>
      <c r="F15" s="1">
        <v>45840.40625</v>
      </c>
      <c r="G15" t="s">
        <v>49</v>
      </c>
    </row>
    <row r="16" spans="1:7" x14ac:dyDescent="0.3">
      <c r="A16">
        <v>15</v>
      </c>
      <c r="B16" t="s">
        <v>56</v>
      </c>
      <c r="C16" t="s">
        <v>57</v>
      </c>
      <c r="D16" t="s">
        <v>58</v>
      </c>
      <c r="E16" t="s">
        <v>18</v>
      </c>
      <c r="F16" s="1">
        <v>45840.416666666664</v>
      </c>
      <c r="G16" t="s">
        <v>19</v>
      </c>
    </row>
    <row r="17" spans="1:7" x14ac:dyDescent="0.3">
      <c r="A17">
        <v>16</v>
      </c>
      <c r="B17" t="s">
        <v>59</v>
      </c>
      <c r="C17" t="s">
        <v>60</v>
      </c>
      <c r="D17" t="s">
        <v>61</v>
      </c>
      <c r="E17" t="s">
        <v>37</v>
      </c>
      <c r="F17" s="1">
        <v>45840.427083333336</v>
      </c>
    </row>
    <row r="18" spans="1:7" x14ac:dyDescent="0.3">
      <c r="A18">
        <v>17</v>
      </c>
      <c r="B18" t="s">
        <v>62</v>
      </c>
      <c r="C18" t="s">
        <v>63</v>
      </c>
      <c r="D18" t="s">
        <v>64</v>
      </c>
      <c r="E18" t="s">
        <v>14</v>
      </c>
      <c r="F18" s="1">
        <v>45840.4375</v>
      </c>
    </row>
    <row r="19" spans="1:7" x14ac:dyDescent="0.3">
      <c r="A19">
        <v>18</v>
      </c>
      <c r="B19" t="s">
        <v>65</v>
      </c>
      <c r="C19" t="s">
        <v>66</v>
      </c>
      <c r="D19" t="s">
        <v>67</v>
      </c>
      <c r="E19" t="s">
        <v>23</v>
      </c>
      <c r="F19" s="1">
        <v>45840.447916666664</v>
      </c>
    </row>
    <row r="20" spans="1:7" x14ac:dyDescent="0.3">
      <c r="A20">
        <v>19</v>
      </c>
      <c r="B20" t="s">
        <v>68</v>
      </c>
      <c r="C20" t="s">
        <v>69</v>
      </c>
      <c r="D20" t="s">
        <v>70</v>
      </c>
      <c r="E20" t="s">
        <v>18</v>
      </c>
      <c r="F20" s="1">
        <v>45840.458333333336</v>
      </c>
    </row>
    <row r="21" spans="1:7" x14ac:dyDescent="0.3">
      <c r="A21">
        <v>20</v>
      </c>
      <c r="B21" t="s">
        <v>71</v>
      </c>
      <c r="C21" t="s">
        <v>72</v>
      </c>
      <c r="D21" t="s">
        <v>73</v>
      </c>
      <c r="E21" t="s">
        <v>30</v>
      </c>
      <c r="F21" s="1">
        <v>45840.46875</v>
      </c>
    </row>
    <row r="22" spans="1:7" x14ac:dyDescent="0.3">
      <c r="A22">
        <v>21</v>
      </c>
      <c r="B22" t="s">
        <v>50</v>
      </c>
      <c r="C22" t="s">
        <v>74</v>
      </c>
      <c r="D22" t="s">
        <v>75</v>
      </c>
      <c r="E22" t="s">
        <v>18</v>
      </c>
      <c r="F22" s="1">
        <v>45841.375</v>
      </c>
      <c r="G22" t="s">
        <v>19</v>
      </c>
    </row>
    <row r="23" spans="1:7" x14ac:dyDescent="0.3">
      <c r="A23">
        <v>22</v>
      </c>
      <c r="B23" t="s">
        <v>76</v>
      </c>
      <c r="C23" t="s">
        <v>77</v>
      </c>
      <c r="D23" t="s">
        <v>78</v>
      </c>
      <c r="E23" t="s">
        <v>14</v>
      </c>
      <c r="F23" s="1">
        <v>45841.385416666664</v>
      </c>
      <c r="G23" t="s">
        <v>49</v>
      </c>
    </row>
    <row r="24" spans="1:7" x14ac:dyDescent="0.3">
      <c r="A24">
        <v>23</v>
      </c>
      <c r="B24" t="s">
        <v>79</v>
      </c>
      <c r="C24" t="s">
        <v>80</v>
      </c>
      <c r="D24" t="s">
        <v>81</v>
      </c>
      <c r="E24" t="s">
        <v>23</v>
      </c>
      <c r="F24" s="1">
        <v>45841.395833333336</v>
      </c>
    </row>
    <row r="25" spans="1:7" x14ac:dyDescent="0.3">
      <c r="A25">
        <v>24</v>
      </c>
      <c r="B25" t="s">
        <v>82</v>
      </c>
      <c r="C25" t="s">
        <v>83</v>
      </c>
      <c r="D25" t="s">
        <v>84</v>
      </c>
      <c r="E25" t="s">
        <v>30</v>
      </c>
      <c r="F25" s="1">
        <v>45841.40625</v>
      </c>
      <c r="G25" t="s">
        <v>19</v>
      </c>
    </row>
    <row r="26" spans="1:7" x14ac:dyDescent="0.3">
      <c r="A26">
        <v>25</v>
      </c>
      <c r="B26" t="s">
        <v>85</v>
      </c>
      <c r="C26" t="s">
        <v>86</v>
      </c>
      <c r="D26" t="s">
        <v>87</v>
      </c>
      <c r="E26" t="s">
        <v>18</v>
      </c>
      <c r="F26" s="1">
        <v>45841.416666666664</v>
      </c>
    </row>
    <row r="27" spans="1:7" x14ac:dyDescent="0.3">
      <c r="A27">
        <v>26</v>
      </c>
      <c r="B27" t="s">
        <v>88</v>
      </c>
      <c r="C27" t="s">
        <v>89</v>
      </c>
      <c r="D27" t="s">
        <v>90</v>
      </c>
      <c r="E27" t="s">
        <v>14</v>
      </c>
      <c r="F27" s="1">
        <v>45841.427083333336</v>
      </c>
      <c r="G27" t="s">
        <v>49</v>
      </c>
    </row>
    <row r="28" spans="1:7" x14ac:dyDescent="0.3">
      <c r="A28">
        <v>27</v>
      </c>
      <c r="B28" t="s">
        <v>91</v>
      </c>
      <c r="C28" t="s">
        <v>92</v>
      </c>
      <c r="D28" t="s">
        <v>93</v>
      </c>
      <c r="E28" t="s">
        <v>23</v>
      </c>
      <c r="F28" s="1">
        <v>45841.4375</v>
      </c>
      <c r="G28" t="s">
        <v>19</v>
      </c>
    </row>
    <row r="29" spans="1:7" x14ac:dyDescent="0.3">
      <c r="A29">
        <v>28</v>
      </c>
      <c r="B29" t="s">
        <v>94</v>
      </c>
      <c r="C29" t="s">
        <v>95</v>
      </c>
      <c r="D29" t="s">
        <v>96</v>
      </c>
      <c r="E29" t="s">
        <v>30</v>
      </c>
      <c r="F29" s="1">
        <v>45841.447916666664</v>
      </c>
    </row>
    <row r="30" spans="1:7" x14ac:dyDescent="0.3">
      <c r="A30">
        <v>29</v>
      </c>
      <c r="B30" t="s">
        <v>97</v>
      </c>
      <c r="C30" t="s">
        <v>98</v>
      </c>
      <c r="D30" t="s">
        <v>99</v>
      </c>
      <c r="E30" t="s">
        <v>18</v>
      </c>
      <c r="F30" s="1">
        <v>45841.458333333336</v>
      </c>
      <c r="G30" t="s">
        <v>49</v>
      </c>
    </row>
    <row r="31" spans="1:7" x14ac:dyDescent="0.3">
      <c r="A31">
        <v>30</v>
      </c>
      <c r="B31" t="s">
        <v>100</v>
      </c>
      <c r="C31" t="s">
        <v>101</v>
      </c>
      <c r="D31" t="s">
        <v>102</v>
      </c>
      <c r="E31" t="s">
        <v>14</v>
      </c>
      <c r="F31" s="1">
        <v>45841.46875</v>
      </c>
    </row>
    <row r="32" spans="1:7" x14ac:dyDescent="0.3">
      <c r="A32">
        <v>31</v>
      </c>
      <c r="B32" t="s">
        <v>103</v>
      </c>
      <c r="C32" t="s">
        <v>104</v>
      </c>
      <c r="D32" t="s">
        <v>105</v>
      </c>
      <c r="E32" t="s">
        <v>23</v>
      </c>
      <c r="F32" s="1">
        <v>45841.479166666664</v>
      </c>
      <c r="G32" t="s">
        <v>19</v>
      </c>
    </row>
    <row r="33" spans="1:10" x14ac:dyDescent="0.3">
      <c r="A33">
        <v>32</v>
      </c>
      <c r="B33" t="s">
        <v>106</v>
      </c>
      <c r="C33" t="s">
        <v>107</v>
      </c>
      <c r="D33" t="s">
        <v>108</v>
      </c>
      <c r="E33" t="s">
        <v>30</v>
      </c>
      <c r="F33" s="1">
        <v>45841.489583333336</v>
      </c>
      <c r="G33" t="s">
        <v>49</v>
      </c>
    </row>
    <row r="34" spans="1:10" x14ac:dyDescent="0.3">
      <c r="A34">
        <v>33</v>
      </c>
      <c r="B34" t="s">
        <v>109</v>
      </c>
      <c r="C34" t="s">
        <v>110</v>
      </c>
      <c r="D34" t="s">
        <v>111</v>
      </c>
      <c r="E34" t="s">
        <v>18</v>
      </c>
      <c r="F34" s="1">
        <v>45841.5</v>
      </c>
    </row>
    <row r="35" spans="1:10" x14ac:dyDescent="0.3">
      <c r="A35">
        <v>34</v>
      </c>
      <c r="B35" t="s">
        <v>112</v>
      </c>
      <c r="C35" t="s">
        <v>113</v>
      </c>
      <c r="D35" t="s">
        <v>114</v>
      </c>
      <c r="E35" t="s">
        <v>14</v>
      </c>
      <c r="F35" s="1">
        <v>45841.510416666664</v>
      </c>
      <c r="G35" t="s">
        <v>19</v>
      </c>
    </row>
    <row r="36" spans="1:10" x14ac:dyDescent="0.3">
      <c r="A36">
        <v>35</v>
      </c>
      <c r="B36" t="s">
        <v>115</v>
      </c>
      <c r="C36" t="s">
        <v>116</v>
      </c>
      <c r="D36" t="s">
        <v>117</v>
      </c>
      <c r="E36" t="s">
        <v>23</v>
      </c>
      <c r="F36" s="1">
        <v>45841.520833333336</v>
      </c>
    </row>
    <row r="37" spans="1:10" x14ac:dyDescent="0.3">
      <c r="A37">
        <v>36</v>
      </c>
      <c r="B37" t="s">
        <v>118</v>
      </c>
      <c r="C37" t="s">
        <v>119</v>
      </c>
      <c r="D37" t="s">
        <v>120</v>
      </c>
      <c r="E37" t="s">
        <v>30</v>
      </c>
      <c r="F37" s="1">
        <v>45841.53125</v>
      </c>
      <c r="G37" t="s">
        <v>49</v>
      </c>
      <c r="J37">
        <f>COUNTBLANK(guests[Gender])</f>
        <v>46</v>
      </c>
    </row>
    <row r="38" spans="1:10" x14ac:dyDescent="0.3">
      <c r="A38">
        <v>37</v>
      </c>
      <c r="B38" t="s">
        <v>121</v>
      </c>
      <c r="C38" t="s">
        <v>122</v>
      </c>
      <c r="D38" t="s">
        <v>123</v>
      </c>
      <c r="E38" t="s">
        <v>18</v>
      </c>
      <c r="F38" s="1">
        <v>45841.541666666664</v>
      </c>
      <c r="G38" t="s">
        <v>19</v>
      </c>
    </row>
    <row r="39" spans="1:10" x14ac:dyDescent="0.3">
      <c r="A39">
        <v>38</v>
      </c>
      <c r="B39" t="s">
        <v>124</v>
      </c>
      <c r="C39" t="s">
        <v>125</v>
      </c>
      <c r="D39" t="s">
        <v>126</v>
      </c>
      <c r="E39" t="s">
        <v>14</v>
      </c>
      <c r="F39" s="1">
        <v>45841.552083333336</v>
      </c>
    </row>
    <row r="40" spans="1:10" x14ac:dyDescent="0.3">
      <c r="A40">
        <v>39</v>
      </c>
      <c r="B40" t="s">
        <v>68</v>
      </c>
      <c r="C40" t="s">
        <v>127</v>
      </c>
      <c r="D40" t="s">
        <v>128</v>
      </c>
      <c r="E40" t="s">
        <v>23</v>
      </c>
      <c r="F40" s="1">
        <v>45841.5625</v>
      </c>
      <c r="G40" t="s">
        <v>49</v>
      </c>
    </row>
    <row r="41" spans="1:10" x14ac:dyDescent="0.3">
      <c r="A41">
        <v>40</v>
      </c>
      <c r="B41" t="s">
        <v>129</v>
      </c>
      <c r="C41" t="s">
        <v>130</v>
      </c>
      <c r="D41" t="s">
        <v>131</v>
      </c>
      <c r="E41" t="s">
        <v>30</v>
      </c>
      <c r="F41" s="1">
        <v>45841.572916666664</v>
      </c>
    </row>
    <row r="42" spans="1:10" x14ac:dyDescent="0.3">
      <c r="A42">
        <v>41</v>
      </c>
      <c r="B42" t="s">
        <v>132</v>
      </c>
      <c r="C42" t="s">
        <v>133</v>
      </c>
      <c r="D42" t="s">
        <v>134</v>
      </c>
      <c r="E42" t="s">
        <v>18</v>
      </c>
      <c r="F42" s="1">
        <v>45841.583333333336</v>
      </c>
      <c r="G42" t="s">
        <v>19</v>
      </c>
    </row>
    <row r="43" spans="1:10" x14ac:dyDescent="0.3">
      <c r="A43">
        <v>42</v>
      </c>
      <c r="B43" t="s">
        <v>135</v>
      </c>
      <c r="C43" t="s">
        <v>136</v>
      </c>
      <c r="D43" t="s">
        <v>137</v>
      </c>
      <c r="E43" t="s">
        <v>14</v>
      </c>
      <c r="F43" s="1">
        <v>45841.59375</v>
      </c>
      <c r="G43" t="s">
        <v>49</v>
      </c>
    </row>
    <row r="44" spans="1:10" x14ac:dyDescent="0.3">
      <c r="A44">
        <v>43</v>
      </c>
      <c r="B44" t="s">
        <v>138</v>
      </c>
      <c r="C44" t="s">
        <v>139</v>
      </c>
      <c r="D44" t="s">
        <v>140</v>
      </c>
      <c r="E44" t="s">
        <v>23</v>
      </c>
      <c r="F44" s="1">
        <v>45841.604166666664</v>
      </c>
    </row>
    <row r="45" spans="1:10" x14ac:dyDescent="0.3">
      <c r="A45">
        <v>44</v>
      </c>
      <c r="B45" t="s">
        <v>141</v>
      </c>
      <c r="C45" t="s">
        <v>142</v>
      </c>
      <c r="D45" t="s">
        <v>143</v>
      </c>
      <c r="E45" t="s">
        <v>30</v>
      </c>
      <c r="F45" s="1">
        <v>45841.614583333336</v>
      </c>
      <c r="G45" t="s">
        <v>19</v>
      </c>
    </row>
    <row r="46" spans="1:10" x14ac:dyDescent="0.3">
      <c r="A46">
        <v>45</v>
      </c>
      <c r="B46" t="s">
        <v>144</v>
      </c>
      <c r="C46" t="s">
        <v>145</v>
      </c>
      <c r="D46" t="s">
        <v>146</v>
      </c>
      <c r="E46" t="s">
        <v>18</v>
      </c>
      <c r="F46" s="1">
        <v>45841.625</v>
      </c>
    </row>
    <row r="47" spans="1:10" x14ac:dyDescent="0.3">
      <c r="A47">
        <v>46</v>
      </c>
      <c r="B47" t="s">
        <v>147</v>
      </c>
      <c r="C47" t="s">
        <v>148</v>
      </c>
      <c r="D47" t="s">
        <v>149</v>
      </c>
      <c r="E47" t="s">
        <v>14</v>
      </c>
      <c r="F47" s="1">
        <v>45841.635416666664</v>
      </c>
      <c r="G47" t="s">
        <v>49</v>
      </c>
    </row>
    <row r="48" spans="1:10" x14ac:dyDescent="0.3">
      <c r="A48">
        <v>47</v>
      </c>
      <c r="B48" t="s">
        <v>150</v>
      </c>
      <c r="C48" t="s">
        <v>151</v>
      </c>
      <c r="D48" t="s">
        <v>152</v>
      </c>
      <c r="E48" t="s">
        <v>23</v>
      </c>
      <c r="F48" s="1">
        <v>45841.645833333336</v>
      </c>
      <c r="G48" t="s">
        <v>19</v>
      </c>
    </row>
    <row r="49" spans="1:7" x14ac:dyDescent="0.3">
      <c r="A49">
        <v>48</v>
      </c>
      <c r="B49" t="s">
        <v>153</v>
      </c>
      <c r="C49" t="s">
        <v>154</v>
      </c>
      <c r="D49" t="s">
        <v>155</v>
      </c>
      <c r="E49" t="s">
        <v>30</v>
      </c>
      <c r="F49" s="1">
        <v>45841.65625</v>
      </c>
    </row>
    <row r="50" spans="1:7" x14ac:dyDescent="0.3">
      <c r="A50">
        <v>49</v>
      </c>
      <c r="B50" t="s">
        <v>156</v>
      </c>
      <c r="C50" t="s">
        <v>157</v>
      </c>
      <c r="D50" t="s">
        <v>158</v>
      </c>
      <c r="E50" t="s">
        <v>18</v>
      </c>
      <c r="F50" s="1">
        <v>45841.666666666664</v>
      </c>
      <c r="G50" t="s">
        <v>49</v>
      </c>
    </row>
    <row r="51" spans="1:7" x14ac:dyDescent="0.3">
      <c r="A51">
        <v>50</v>
      </c>
      <c r="B51" t="s">
        <v>159</v>
      </c>
      <c r="C51" t="s">
        <v>160</v>
      </c>
      <c r="D51" t="s">
        <v>161</v>
      </c>
      <c r="E51" t="s">
        <v>14</v>
      </c>
      <c r="F51" s="1">
        <v>45841.677083333336</v>
      </c>
    </row>
    <row r="52" spans="1:7" x14ac:dyDescent="0.3">
      <c r="A52">
        <v>51</v>
      </c>
      <c r="B52" t="s">
        <v>162</v>
      </c>
      <c r="C52" t="s">
        <v>163</v>
      </c>
      <c r="D52" t="s">
        <v>164</v>
      </c>
      <c r="E52" t="s">
        <v>23</v>
      </c>
      <c r="F52" s="1">
        <v>45841.6875</v>
      </c>
      <c r="G52" t="s">
        <v>19</v>
      </c>
    </row>
    <row r="53" spans="1:7" x14ac:dyDescent="0.3">
      <c r="A53">
        <v>52</v>
      </c>
      <c r="B53" t="s">
        <v>165</v>
      </c>
      <c r="C53" t="s">
        <v>166</v>
      </c>
      <c r="D53" t="s">
        <v>167</v>
      </c>
      <c r="E53" t="s">
        <v>30</v>
      </c>
      <c r="F53" s="1">
        <v>45841.697916666664</v>
      </c>
      <c r="G53" t="s">
        <v>49</v>
      </c>
    </row>
    <row r="54" spans="1:7" x14ac:dyDescent="0.3">
      <c r="A54">
        <v>53</v>
      </c>
      <c r="B54" t="s">
        <v>168</v>
      </c>
      <c r="C54" t="s">
        <v>169</v>
      </c>
      <c r="D54" t="s">
        <v>170</v>
      </c>
      <c r="E54" t="s">
        <v>18</v>
      </c>
      <c r="F54" s="1">
        <v>45841.708333333336</v>
      </c>
    </row>
    <row r="55" spans="1:7" x14ac:dyDescent="0.3">
      <c r="A55">
        <v>54</v>
      </c>
      <c r="B55" t="s">
        <v>171</v>
      </c>
      <c r="C55" t="s">
        <v>172</v>
      </c>
      <c r="D55" t="s">
        <v>173</v>
      </c>
      <c r="E55" t="s">
        <v>14</v>
      </c>
      <c r="F55" s="1">
        <v>45841.71875</v>
      </c>
      <c r="G55" t="s">
        <v>19</v>
      </c>
    </row>
    <row r="56" spans="1:7" x14ac:dyDescent="0.3">
      <c r="A56">
        <v>55</v>
      </c>
      <c r="B56" t="s">
        <v>174</v>
      </c>
      <c r="C56" t="s">
        <v>175</v>
      </c>
      <c r="D56" t="s">
        <v>176</v>
      </c>
      <c r="E56" t="s">
        <v>23</v>
      </c>
      <c r="F56" s="1">
        <v>45841.729166666664</v>
      </c>
    </row>
    <row r="57" spans="1:7" x14ac:dyDescent="0.3">
      <c r="A57">
        <v>56</v>
      </c>
      <c r="B57" t="s">
        <v>177</v>
      </c>
      <c r="C57" t="s">
        <v>178</v>
      </c>
      <c r="D57" t="s">
        <v>179</v>
      </c>
      <c r="E57" t="s">
        <v>30</v>
      </c>
      <c r="F57" s="1">
        <v>45841.739583333336</v>
      </c>
      <c r="G57" t="s">
        <v>49</v>
      </c>
    </row>
    <row r="58" spans="1:7" x14ac:dyDescent="0.3">
      <c r="A58">
        <v>57</v>
      </c>
      <c r="B58" t="s">
        <v>180</v>
      </c>
      <c r="C58" t="s">
        <v>181</v>
      </c>
      <c r="D58" t="s">
        <v>182</v>
      </c>
      <c r="E58" t="s">
        <v>18</v>
      </c>
      <c r="F58" s="1">
        <v>45841.75</v>
      </c>
      <c r="G58" t="s">
        <v>19</v>
      </c>
    </row>
    <row r="59" spans="1:7" x14ac:dyDescent="0.3">
      <c r="A59">
        <v>58</v>
      </c>
      <c r="B59" t="s">
        <v>183</v>
      </c>
      <c r="C59" t="s">
        <v>184</v>
      </c>
      <c r="D59" t="s">
        <v>185</v>
      </c>
      <c r="E59" t="s">
        <v>14</v>
      </c>
      <c r="F59" s="1">
        <v>45841.760416666664</v>
      </c>
    </row>
    <row r="60" spans="1:7" x14ac:dyDescent="0.3">
      <c r="A60">
        <v>59</v>
      </c>
      <c r="B60" t="s">
        <v>186</v>
      </c>
      <c r="C60" t="s">
        <v>187</v>
      </c>
      <c r="D60" t="s">
        <v>188</v>
      </c>
      <c r="E60" t="s">
        <v>23</v>
      </c>
      <c r="F60" s="1">
        <v>45841.770833333336</v>
      </c>
      <c r="G60" t="s">
        <v>49</v>
      </c>
    </row>
    <row r="61" spans="1:7" x14ac:dyDescent="0.3">
      <c r="A61">
        <v>60</v>
      </c>
      <c r="B61" t="s">
        <v>189</v>
      </c>
      <c r="C61" t="s">
        <v>190</v>
      </c>
      <c r="D61" t="s">
        <v>191</v>
      </c>
      <c r="E61" t="s">
        <v>30</v>
      </c>
      <c r="F61" s="1">
        <v>45841.78125</v>
      </c>
    </row>
    <row r="62" spans="1:7" x14ac:dyDescent="0.3">
      <c r="A62">
        <v>61</v>
      </c>
      <c r="B62" t="s">
        <v>192</v>
      </c>
      <c r="C62" t="s">
        <v>193</v>
      </c>
      <c r="D62" t="s">
        <v>194</v>
      </c>
      <c r="E62" t="s">
        <v>18</v>
      </c>
      <c r="F62" s="1">
        <v>45841.791666666664</v>
      </c>
      <c r="G62" t="s">
        <v>19</v>
      </c>
    </row>
    <row r="63" spans="1:7" x14ac:dyDescent="0.3">
      <c r="A63">
        <v>62</v>
      </c>
      <c r="B63" t="s">
        <v>195</v>
      </c>
      <c r="C63" t="s">
        <v>196</v>
      </c>
      <c r="D63" t="s">
        <v>197</v>
      </c>
      <c r="E63" t="s">
        <v>14</v>
      </c>
      <c r="F63" s="1">
        <v>45841.802083333336</v>
      </c>
      <c r="G63" t="s">
        <v>49</v>
      </c>
    </row>
    <row r="64" spans="1:7" x14ac:dyDescent="0.3">
      <c r="A64">
        <v>63</v>
      </c>
      <c r="B64" t="s">
        <v>198</v>
      </c>
      <c r="C64" t="s">
        <v>199</v>
      </c>
      <c r="D64" t="s">
        <v>200</v>
      </c>
      <c r="E64" t="s">
        <v>23</v>
      </c>
      <c r="F64" s="1">
        <v>45841.8125</v>
      </c>
    </row>
    <row r="65" spans="1:7" x14ac:dyDescent="0.3">
      <c r="A65">
        <v>64</v>
      </c>
      <c r="B65" t="s">
        <v>201</v>
      </c>
      <c r="C65" t="s">
        <v>202</v>
      </c>
      <c r="D65" t="s">
        <v>203</v>
      </c>
      <c r="E65" t="s">
        <v>30</v>
      </c>
      <c r="F65" s="1">
        <v>45841.822916666664</v>
      </c>
      <c r="G65" t="s">
        <v>19</v>
      </c>
    </row>
    <row r="66" spans="1:7" x14ac:dyDescent="0.3">
      <c r="A66">
        <v>65</v>
      </c>
      <c r="B66" t="s">
        <v>204</v>
      </c>
      <c r="C66" t="s">
        <v>205</v>
      </c>
      <c r="D66" t="s">
        <v>206</v>
      </c>
      <c r="E66" t="s">
        <v>18</v>
      </c>
      <c r="F66" s="1">
        <v>45841.833333333336</v>
      </c>
    </row>
    <row r="67" spans="1:7" x14ac:dyDescent="0.3">
      <c r="A67">
        <v>66</v>
      </c>
      <c r="B67" t="s">
        <v>207</v>
      </c>
      <c r="C67" t="s">
        <v>208</v>
      </c>
      <c r="D67" t="s">
        <v>209</v>
      </c>
      <c r="E67" t="s">
        <v>14</v>
      </c>
      <c r="F67" s="1">
        <v>45841.84375</v>
      </c>
      <c r="G67" t="s">
        <v>49</v>
      </c>
    </row>
    <row r="68" spans="1:7" x14ac:dyDescent="0.3">
      <c r="A68">
        <v>67</v>
      </c>
      <c r="B68" t="s">
        <v>210</v>
      </c>
      <c r="C68" t="s">
        <v>211</v>
      </c>
      <c r="D68" t="s">
        <v>212</v>
      </c>
      <c r="E68" t="s">
        <v>23</v>
      </c>
      <c r="F68" s="1">
        <v>45841.854166666664</v>
      </c>
      <c r="G68" t="s">
        <v>19</v>
      </c>
    </row>
    <row r="69" spans="1:7" x14ac:dyDescent="0.3">
      <c r="A69">
        <v>68</v>
      </c>
      <c r="B69" t="s">
        <v>213</v>
      </c>
      <c r="C69" t="s">
        <v>214</v>
      </c>
      <c r="D69" t="s">
        <v>215</v>
      </c>
      <c r="E69" t="s">
        <v>30</v>
      </c>
      <c r="F69" s="1">
        <v>45841.864583333336</v>
      </c>
    </row>
    <row r="70" spans="1:7" x14ac:dyDescent="0.3">
      <c r="A70">
        <v>69</v>
      </c>
      <c r="B70" t="s">
        <v>216</v>
      </c>
      <c r="C70" t="s">
        <v>217</v>
      </c>
      <c r="D70" t="s">
        <v>218</v>
      </c>
      <c r="E70" t="s">
        <v>18</v>
      </c>
      <c r="F70" s="1">
        <v>45841.875</v>
      </c>
      <c r="G70" t="s">
        <v>49</v>
      </c>
    </row>
    <row r="71" spans="1:7" x14ac:dyDescent="0.3">
      <c r="A71">
        <v>70</v>
      </c>
      <c r="B71" t="s">
        <v>219</v>
      </c>
      <c r="C71" t="s">
        <v>220</v>
      </c>
      <c r="D71" t="s">
        <v>221</v>
      </c>
      <c r="E71" t="s">
        <v>14</v>
      </c>
      <c r="F71" s="1">
        <v>45841.885416666664</v>
      </c>
    </row>
    <row r="72" spans="1:7" x14ac:dyDescent="0.3">
      <c r="A72">
        <v>71</v>
      </c>
      <c r="B72" t="s">
        <v>222</v>
      </c>
      <c r="C72" t="s">
        <v>223</v>
      </c>
      <c r="D72" t="s">
        <v>224</v>
      </c>
      <c r="E72" t="s">
        <v>23</v>
      </c>
      <c r="F72" s="1">
        <v>45841.895833333336</v>
      </c>
      <c r="G72" t="s">
        <v>19</v>
      </c>
    </row>
    <row r="73" spans="1:7" x14ac:dyDescent="0.3">
      <c r="A73">
        <v>72</v>
      </c>
      <c r="B73" t="s">
        <v>225</v>
      </c>
      <c r="C73" t="s">
        <v>226</v>
      </c>
      <c r="D73" t="s">
        <v>227</v>
      </c>
      <c r="E73" t="s">
        <v>30</v>
      </c>
      <c r="F73" s="1">
        <v>45841.90625</v>
      </c>
      <c r="G73" t="s">
        <v>49</v>
      </c>
    </row>
    <row r="74" spans="1:7" x14ac:dyDescent="0.3">
      <c r="A74">
        <v>73</v>
      </c>
      <c r="B74" t="s">
        <v>228</v>
      </c>
      <c r="C74" t="s">
        <v>229</v>
      </c>
      <c r="D74" t="s">
        <v>230</v>
      </c>
      <c r="E74" t="s">
        <v>18</v>
      </c>
      <c r="F74" s="1">
        <v>45841.916666666664</v>
      </c>
    </row>
    <row r="75" spans="1:7" x14ac:dyDescent="0.3">
      <c r="A75">
        <v>74</v>
      </c>
      <c r="B75" t="s">
        <v>231</v>
      </c>
      <c r="C75" t="s">
        <v>232</v>
      </c>
      <c r="D75" t="s">
        <v>233</v>
      </c>
      <c r="E75" t="s">
        <v>14</v>
      </c>
      <c r="F75" s="1">
        <v>45841.927083333336</v>
      </c>
      <c r="G75" t="s">
        <v>19</v>
      </c>
    </row>
    <row r="76" spans="1:7" x14ac:dyDescent="0.3">
      <c r="A76">
        <v>75</v>
      </c>
      <c r="B76" t="s">
        <v>234</v>
      </c>
      <c r="C76" t="s">
        <v>235</v>
      </c>
      <c r="D76" t="s">
        <v>236</v>
      </c>
      <c r="E76" t="s">
        <v>23</v>
      </c>
      <c r="F76" s="1">
        <v>45841.9375</v>
      </c>
    </row>
    <row r="77" spans="1:7" x14ac:dyDescent="0.3">
      <c r="A77">
        <v>76</v>
      </c>
      <c r="B77" t="s">
        <v>237</v>
      </c>
      <c r="C77" t="s">
        <v>238</v>
      </c>
      <c r="D77" t="s">
        <v>239</v>
      </c>
      <c r="E77" t="s">
        <v>30</v>
      </c>
      <c r="F77" s="1">
        <v>45841.947916666664</v>
      </c>
      <c r="G77" t="s">
        <v>49</v>
      </c>
    </row>
    <row r="78" spans="1:7" x14ac:dyDescent="0.3">
      <c r="A78">
        <v>77</v>
      </c>
      <c r="B78" t="s">
        <v>240</v>
      </c>
      <c r="C78" t="s">
        <v>241</v>
      </c>
      <c r="D78" t="s">
        <v>242</v>
      </c>
      <c r="E78" t="s">
        <v>18</v>
      </c>
      <c r="F78" s="1">
        <v>45841.958333333336</v>
      </c>
      <c r="G78" t="s">
        <v>19</v>
      </c>
    </row>
    <row r="79" spans="1:7" x14ac:dyDescent="0.3">
      <c r="A79">
        <v>78</v>
      </c>
      <c r="B79" t="s">
        <v>243</v>
      </c>
      <c r="C79" t="s">
        <v>244</v>
      </c>
      <c r="D79" t="s">
        <v>245</v>
      </c>
      <c r="E79" t="s">
        <v>14</v>
      </c>
      <c r="F79" s="1">
        <v>45841.96875</v>
      </c>
    </row>
    <row r="80" spans="1:7" x14ac:dyDescent="0.3">
      <c r="A80">
        <v>79</v>
      </c>
      <c r="B80" t="s">
        <v>246</v>
      </c>
      <c r="C80" t="s">
        <v>247</v>
      </c>
      <c r="D80" t="s">
        <v>248</v>
      </c>
      <c r="E80" t="s">
        <v>23</v>
      </c>
      <c r="F80" s="1">
        <v>45841.979166666664</v>
      </c>
      <c r="G80" t="s">
        <v>49</v>
      </c>
    </row>
    <row r="81" spans="1:7" x14ac:dyDescent="0.3">
      <c r="A81">
        <v>80</v>
      </c>
      <c r="B81" t="s">
        <v>249</v>
      </c>
      <c r="C81" t="s">
        <v>250</v>
      </c>
      <c r="D81" t="s">
        <v>251</v>
      </c>
      <c r="E81" t="s">
        <v>30</v>
      </c>
      <c r="F81" s="1">
        <v>45841.989583333336</v>
      </c>
    </row>
    <row r="82" spans="1:7" x14ac:dyDescent="0.3">
      <c r="A82">
        <v>81</v>
      </c>
      <c r="B82" t="s">
        <v>252</v>
      </c>
      <c r="C82" t="s">
        <v>253</v>
      </c>
      <c r="D82" t="s">
        <v>254</v>
      </c>
      <c r="E82" t="s">
        <v>18</v>
      </c>
      <c r="F82" s="1">
        <v>45842.375</v>
      </c>
      <c r="G82" t="s">
        <v>19</v>
      </c>
    </row>
    <row r="83" spans="1:7" x14ac:dyDescent="0.3">
      <c r="A83">
        <v>82</v>
      </c>
      <c r="B83" t="s">
        <v>255</v>
      </c>
      <c r="C83" t="s">
        <v>256</v>
      </c>
      <c r="D83" t="s">
        <v>257</v>
      </c>
      <c r="E83" t="s">
        <v>14</v>
      </c>
      <c r="F83" s="1">
        <v>45842.385416666664</v>
      </c>
      <c r="G83" t="s">
        <v>49</v>
      </c>
    </row>
    <row r="84" spans="1:7" x14ac:dyDescent="0.3">
      <c r="A84">
        <v>83</v>
      </c>
      <c r="B84" t="s">
        <v>258</v>
      </c>
      <c r="C84" t="s">
        <v>259</v>
      </c>
      <c r="D84" t="s">
        <v>260</v>
      </c>
      <c r="E84" t="s">
        <v>23</v>
      </c>
      <c r="F84" s="1">
        <v>45842.395833333336</v>
      </c>
    </row>
    <row r="85" spans="1:7" x14ac:dyDescent="0.3">
      <c r="A85">
        <v>84</v>
      </c>
      <c r="B85" t="s">
        <v>261</v>
      </c>
      <c r="C85" t="s">
        <v>262</v>
      </c>
      <c r="D85" t="s">
        <v>263</v>
      </c>
      <c r="E85" t="s">
        <v>30</v>
      </c>
      <c r="F85" s="1">
        <v>45842.40625</v>
      </c>
      <c r="G85" t="s">
        <v>19</v>
      </c>
    </row>
    <row r="86" spans="1:7" x14ac:dyDescent="0.3">
      <c r="A86">
        <v>85</v>
      </c>
      <c r="B86" t="s">
        <v>264</v>
      </c>
      <c r="C86" t="s">
        <v>265</v>
      </c>
      <c r="D86" t="s">
        <v>266</v>
      </c>
      <c r="E86" t="s">
        <v>18</v>
      </c>
      <c r="F86" s="1">
        <v>45842.416666666664</v>
      </c>
    </row>
    <row r="87" spans="1:7" x14ac:dyDescent="0.3">
      <c r="A87">
        <v>86</v>
      </c>
      <c r="B87" t="s">
        <v>267</v>
      </c>
      <c r="C87" t="s">
        <v>268</v>
      </c>
      <c r="D87" t="s">
        <v>269</v>
      </c>
      <c r="E87" t="s">
        <v>14</v>
      </c>
      <c r="F87" s="1">
        <v>45842.427083333336</v>
      </c>
      <c r="G87" t="s">
        <v>49</v>
      </c>
    </row>
    <row r="88" spans="1:7" x14ac:dyDescent="0.3">
      <c r="A88">
        <v>87</v>
      </c>
      <c r="B88" t="s">
        <v>270</v>
      </c>
      <c r="C88" t="s">
        <v>271</v>
      </c>
      <c r="D88" t="s">
        <v>272</v>
      </c>
      <c r="E88" t="s">
        <v>23</v>
      </c>
      <c r="F88" s="1">
        <v>45842.4375</v>
      </c>
      <c r="G88" t="s">
        <v>19</v>
      </c>
    </row>
    <row r="89" spans="1:7" x14ac:dyDescent="0.3">
      <c r="A89">
        <v>88</v>
      </c>
      <c r="B89" t="s">
        <v>273</v>
      </c>
      <c r="C89" t="s">
        <v>274</v>
      </c>
      <c r="D89" t="s">
        <v>275</v>
      </c>
      <c r="E89" t="s">
        <v>30</v>
      </c>
      <c r="F89" s="1">
        <v>45842.447916666664</v>
      </c>
    </row>
    <row r="90" spans="1:7" x14ac:dyDescent="0.3">
      <c r="A90">
        <v>89</v>
      </c>
      <c r="B90" t="s">
        <v>276</v>
      </c>
      <c r="C90" t="s">
        <v>277</v>
      </c>
      <c r="D90" t="s">
        <v>278</v>
      </c>
      <c r="E90" t="s">
        <v>18</v>
      </c>
      <c r="F90" s="1">
        <v>45842.458333333336</v>
      </c>
      <c r="G90" t="s">
        <v>49</v>
      </c>
    </row>
    <row r="91" spans="1:7" x14ac:dyDescent="0.3">
      <c r="A91">
        <v>90</v>
      </c>
      <c r="B91" t="s">
        <v>279</v>
      </c>
      <c r="C91" t="s">
        <v>280</v>
      </c>
      <c r="D91" t="s">
        <v>281</v>
      </c>
      <c r="E91" t="s">
        <v>14</v>
      </c>
      <c r="F91" s="1">
        <v>45842.46875</v>
      </c>
    </row>
    <row r="92" spans="1:7" x14ac:dyDescent="0.3">
      <c r="A92">
        <v>91</v>
      </c>
      <c r="B92" t="s">
        <v>282</v>
      </c>
      <c r="C92" t="s">
        <v>283</v>
      </c>
      <c r="D92" t="s">
        <v>284</v>
      </c>
      <c r="E92" t="s">
        <v>23</v>
      </c>
      <c r="F92" s="1">
        <v>45842.479166666664</v>
      </c>
      <c r="G92" t="s">
        <v>19</v>
      </c>
    </row>
    <row r="93" spans="1:7" x14ac:dyDescent="0.3">
      <c r="A93">
        <v>92</v>
      </c>
      <c r="B93" t="s">
        <v>285</v>
      </c>
      <c r="C93" t="s">
        <v>286</v>
      </c>
      <c r="D93" t="s">
        <v>287</v>
      </c>
      <c r="E93" t="s">
        <v>30</v>
      </c>
      <c r="F93" s="1">
        <v>45842.489583333336</v>
      </c>
      <c r="G93" t="s">
        <v>49</v>
      </c>
    </row>
    <row r="94" spans="1:7" x14ac:dyDescent="0.3">
      <c r="A94">
        <v>93</v>
      </c>
      <c r="B94" t="s">
        <v>288</v>
      </c>
      <c r="C94" t="s">
        <v>289</v>
      </c>
      <c r="D94" t="s">
        <v>290</v>
      </c>
      <c r="E94" t="s">
        <v>18</v>
      </c>
      <c r="F94" s="1">
        <v>45842.5</v>
      </c>
    </row>
    <row r="95" spans="1:7" x14ac:dyDescent="0.3">
      <c r="A95">
        <v>94</v>
      </c>
      <c r="B95" t="s">
        <v>291</v>
      </c>
      <c r="C95" t="s">
        <v>292</v>
      </c>
      <c r="D95" t="s">
        <v>293</v>
      </c>
      <c r="E95" t="s">
        <v>14</v>
      </c>
      <c r="F95" s="1">
        <v>45842.510416666664</v>
      </c>
      <c r="G95" t="s">
        <v>19</v>
      </c>
    </row>
    <row r="96" spans="1:7" x14ac:dyDescent="0.3">
      <c r="A96">
        <v>95</v>
      </c>
      <c r="B96" t="s">
        <v>294</v>
      </c>
      <c r="C96" t="s">
        <v>295</v>
      </c>
      <c r="D96" t="s">
        <v>296</v>
      </c>
      <c r="E96" t="s">
        <v>23</v>
      </c>
      <c r="F96" s="1">
        <v>45842.520833333336</v>
      </c>
    </row>
    <row r="97" spans="1:7" x14ac:dyDescent="0.3">
      <c r="A97">
        <v>96</v>
      </c>
      <c r="B97" t="s">
        <v>297</v>
      </c>
      <c r="C97" t="s">
        <v>298</v>
      </c>
      <c r="D97" t="s">
        <v>299</v>
      </c>
      <c r="E97" t="s">
        <v>30</v>
      </c>
      <c r="F97" s="1">
        <v>45842.53125</v>
      </c>
      <c r="G97" t="s">
        <v>49</v>
      </c>
    </row>
    <row r="98" spans="1:7" x14ac:dyDescent="0.3">
      <c r="A98">
        <v>97</v>
      </c>
      <c r="B98" t="s">
        <v>300</v>
      </c>
      <c r="C98" t="s">
        <v>301</v>
      </c>
      <c r="D98" t="s">
        <v>302</v>
      </c>
      <c r="E98" t="s">
        <v>18</v>
      </c>
      <c r="F98" s="1">
        <v>45842.541666666664</v>
      </c>
      <c r="G98" t="s">
        <v>19</v>
      </c>
    </row>
    <row r="99" spans="1:7" x14ac:dyDescent="0.3">
      <c r="A99">
        <v>98</v>
      </c>
      <c r="B99" t="s">
        <v>303</v>
      </c>
      <c r="C99" t="s">
        <v>304</v>
      </c>
      <c r="D99" t="s">
        <v>305</v>
      </c>
      <c r="E99" t="s">
        <v>14</v>
      </c>
      <c r="F99" s="1">
        <v>45842.552083333336</v>
      </c>
    </row>
    <row r="100" spans="1:7" x14ac:dyDescent="0.3">
      <c r="A100">
        <v>99</v>
      </c>
      <c r="B100" t="s">
        <v>306</v>
      </c>
      <c r="C100" t="s">
        <v>307</v>
      </c>
      <c r="D100" t="s">
        <v>308</v>
      </c>
      <c r="E100" t="s">
        <v>23</v>
      </c>
      <c r="F100" s="1">
        <v>45842.5625</v>
      </c>
      <c r="G100" t="s">
        <v>49</v>
      </c>
    </row>
    <row r="101" spans="1:7" x14ac:dyDescent="0.3">
      <c r="A101">
        <v>100</v>
      </c>
      <c r="B101" t="s">
        <v>309</v>
      </c>
      <c r="C101" t="s">
        <v>310</v>
      </c>
      <c r="D101" t="s">
        <v>311</v>
      </c>
      <c r="E101" t="s">
        <v>30</v>
      </c>
      <c r="F101" s="1">
        <v>45842.572916666664</v>
      </c>
    </row>
  </sheetData>
  <conditionalFormatting sqref="A1:A1048576">
    <cfRule type="duplicateValues" dxfId="5" priority="1"/>
  </conditionalFormatting>
  <conditionalFormatting sqref="A5">
    <cfRule type="duplicateValues" dxfId="4" priority="2"/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51EC8-D80D-4105-98D7-224F5047A44E}">
  <dimension ref="A1"/>
  <sheetViews>
    <sheetView workbookViewId="0">
      <selection activeCell="H14" sqref="H1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C83EEF-BA99-4A5C-8E4A-BA2EADDD62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Booking_Services_Clean</vt:lpstr>
      <vt:lpstr>Formula_Practice_Log</vt:lpstr>
      <vt:lpstr>Services _Clean</vt:lpstr>
      <vt:lpstr>Payments_Clean</vt:lpstr>
      <vt:lpstr>Bookings_Clean</vt:lpstr>
      <vt:lpstr>Rooms_Clean</vt:lpstr>
      <vt:lpstr>rooms</vt:lpstr>
      <vt:lpstr>Guests_Clean</vt:lpstr>
      <vt:lpstr>booking_services</vt:lpstr>
      <vt:lpstr>services</vt:lpstr>
      <vt:lpstr>payments</vt:lpstr>
      <vt:lpstr>bookings</vt:lpstr>
      <vt:lpstr>guests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 nalawade</dc:creator>
  <cp:lastModifiedBy>Samruddhi nalawade</cp:lastModifiedBy>
  <dcterms:created xsi:type="dcterms:W3CDTF">2026-10-31T06:03:48Z</dcterms:created>
  <dcterms:modified xsi:type="dcterms:W3CDTF">2026-10-31T17:10:09Z</dcterms:modified>
</cp:coreProperties>
</file>